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351bb0614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0f8e450998604e94"/>
    <x:sheet xmlns:r="http://schemas.openxmlformats.org/officeDocument/2006/relationships" name="Inputs" sheetId="2" r:id="Rccfe062be0c14971"/>
    <x:sheet xmlns:r="http://schemas.openxmlformats.org/officeDocument/2006/relationships" name="Option 1" sheetId="3" r:id="Recceb6faa397463a"/>
    <x:sheet xmlns:r="http://schemas.openxmlformats.org/officeDocument/2006/relationships" name="Option 2" sheetId="4" r:id="R8dc02164166645a2"/>
    <x:sheet xmlns:r="http://schemas.openxmlformats.org/officeDocument/2006/relationships" name="Scenarios" sheetId="5" r:id="R7ea5f0c674e148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0"/>
    <x:numFmt numFmtId="201" formatCode="0.0%;(0.0%);&quot;–&quot;"/>
    <x:numFmt numFmtId="202" formatCode="#,##0.0;(#,##0.0);&quot;–&quot;"/>
    <x:numFmt numFmtId="203" formatCode="0.000"/>
    <x:numFmt numFmtId="204" formatCode="0.00"/>
    <x:numFmt numFmtId="205" formatCode="#,##0"/>
    <x:numFmt numFmtId="206" formatCode="0.0000"/>
    <x:numFmt numFmtId="207" formatCode="0.0"/>
    <x:numFmt numFmtId="208" formatCode="0&quot; years&quot;"/>
    <x:numFmt numFmtId="209" formatCode="0%;(0%);&quot;–&quot;"/>
    <x:numFmt numFmtId="210" formatCode="0.0%"/>
    <x:numFmt numFmtId="211" formatCode="0.00;(0.00);&quot;–&quot;"/>
    <x:numFmt numFmtId="212" formatCode="0&quot;×&quot;"/>
  </x:numFmts>
  <x:fonts count="15">
    <x:font>
      <x:sz val="11"/>
      <x:name val="Carlito"/>
    </x:font>
    <x:font>
      <x:sz val="11"/>
      <x:color rgb="FF213547"/>
      <x:name val="Arial"/>
    </x:font>
    <x:font>
      <x:b/>
      <x:sz val="16"/>
      <x:color rgb="FF213547"/>
      <x:name val="Arial"/>
    </x:font>
    <x:font>
      <x:i/>
      <x:sz val="11"/>
      <x:color rgb="FF213547"/>
      <x:name val="Arial"/>
    </x:font>
    <x:font>
      <x:b/>
      <x:sz val="11"/>
      <x:color rgb="FFFFFFFF"/>
      <x:name val="Arial"/>
    </x:font>
    <x:font>
      <x:sz val="11"/>
      <x:color rgb="FF245DA8"/>
      <x:name val="Arial"/>
    </x:font>
    <x:font>
      <x:b/>
      <x:sz val="11"/>
      <x:color rgb="FF213547"/>
      <x:name val="Arial"/>
    </x:font>
    <x:font>
      <x:sz val="11"/>
      <x:color rgb="FF287353"/>
      <x:name val="Arial"/>
    </x:font>
    <x:font>
      <x:sz val="11"/>
      <x:color rgb="FF202020"/>
      <x:name val="Arial"/>
    </x:font>
    <x:font>
      <x:b/>
      <x:sz val="11"/>
      <x:color rgb="FF202020"/>
      <x:name val="Arial"/>
    </x:font>
    <x:font>
      <x:sz val="11"/>
      <x:color rgb="FF617180"/>
      <x:name val="Arial"/>
    </x:font>
    <x:font>
      <x:i/>
      <x:sz val="10"/>
      <x:color rgb="FF566079"/>
      <x:name val="Arial"/>
    </x:font>
    <x:font>
      <x:sz val="10"/>
      <x:color rgb="FF213547"/>
      <x:name val="Arial"/>
    </x:font>
    <x:font>
      <x:b/>
      <x:sz val="13"/>
      <x:color rgb="FF213547"/>
      <x:name val="Arial"/>
    </x:font>
    <x:font>
      <x:b/>
      <x:i/>
      <x:sz val="11"/>
      <x:color rgb="FF213547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29495F"/>
      </x:patternFill>
    </x:fill>
    <x:fill>
      <x:patternFill patternType="solid">
        <x:fgColor rgb="FFFFF4D5"/>
      </x:patternFill>
    </x:fill>
    <x:fill>
      <x:patternFill patternType="solid">
        <x:fgColor rgb="FFEDF1F3"/>
      </x:patternFill>
    </x:fill>
    <x:fill>
      <x:patternFill patternType="solid">
        <x:fgColor rgb="FFEEF3F6"/>
      </x:patternFill>
    </x:fill>
    <x:fill>
      <x:patternFill patternType="solid">
        <x:fgColor rgb="FFEDF3F5"/>
      </x:patternFill>
    </x:fill>
    <x:fill>
      <x:patternFill patternType="solid">
        <x:fgColor rgb="FFFFF4D5"/>
      </x:patternFill>
    </x:fill>
    <x:fill>
      <x:patternFill patternType="solid">
        <x:fgColor rgb="FFEDF1F3"/>
      </x:patternFill>
    </x:fill>
    <x:fill>
      <x:patternFill patternType="solid">
        <x:fgColor rgb="FF29495F"/>
      </x:patternFill>
    </x:fill>
    <x:fill>
      <x:patternFill patternType="solid">
        <x:fgColor rgb="FFFFF4D5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D5DCEA"/>
      </x:top>
    </x:border>
    <x:border>
      <x:bottom style="thin">
        <x:color rgb="FFD5DCEA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2" fontId="8" fillId="5" borderId="0" xfId="0" applyNumberFormat="1" applyFont="1" applyFill="1" applyBorder="1" applyAlignment="1">
      <x:alignment vertical="center"/>
    </x:xf>
    <x:xf numFmtId="202" fontId="6" fillId="5" borderId="0" xfId="0" applyNumberFormat="1" applyFont="1" applyFill="1" applyBorder="1" applyAlignment="1">
      <x:alignment vertical="center"/>
    </x:xf>
    <x:xf numFmtId="202" fontId="9" fillId="5" borderId="0" xfId="0" applyNumberFormat="1" applyFont="1" applyFill="1" applyBorder="1" applyAlignment="1">
      <x:alignment vertical="center"/>
    </x:xf>
    <x:xf numFmtId="204" fontId="8" fillId="5" borderId="0" xfId="0" applyNumberFormat="1" applyFont="1" applyFill="1" applyBorder="1" applyAlignment="1">
      <x:alignment vertical="center"/>
    </x:xf>
    <x:xf numFmtId="204" fontId="9" fillId="5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2" fontId="8" fillId="6" borderId="0" xfId="0" applyNumberFormat="1" applyFont="1" applyFill="1" applyBorder="1" applyAlignment="1">
      <x:alignment vertical="center"/>
    </x:xf>
    <x:xf numFmtId="204" fontId="8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2" fontId="9" fillId="6" borderId="0" xfId="0" applyNumberFormat="1" applyFont="1" applyFill="1" applyBorder="1" applyAlignment="1">
      <x:alignment vertical="center"/>
    </x:xf>
    <x:xf numFmtId="204" fontId="9" fillId="6" borderId="0" xfId="0" applyNumberFormat="1" applyFont="1" applyFill="1" applyBorder="1" applyAlignment="1">
      <x:alignment vertical="center"/>
    </x:xf>
    <x:xf numFmtId="202" fontId="6" fillId="6" borderId="0" xfId="0" applyNumberFormat="1" applyFont="1" applyFill="1" applyBorder="1" applyAlignment="1">
      <x:alignment vertical="center"/>
    </x:xf>
    <x:xf numFmtId="204" fontId="6" fillId="6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4" fontId="5" fillId="7" borderId="0" xfId="0" applyNumberFormat="1" applyFont="1" applyFill="1" applyBorder="1" applyAlignment="1">
      <x:alignment vertical="center"/>
    </x:xf>
    <x:xf numFmtId="201" fontId="5" fillId="8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vertical="center"/>
    </x:xf>
    <x:xf numFmtId="206" fontId="5" fillId="3" borderId="0" xfId="0" applyNumberFormat="1" applyFont="1" applyFill="1" applyBorder="1" applyAlignment="1">
      <x:alignment vertical="center"/>
    </x:xf>
    <x:xf numFmtId="207" fontId="7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202" fontId="12" fillId="0" borderId="0" xfId="0" applyNumberFormat="1" applyFont="1" applyFill="1" applyBorder="1" applyAlignment="1">
      <x:alignment vertical="center"/>
    </x:xf>
    <x:xf numFmtId="208" fontId="12" fillId="0" borderId="0" xfId="0" applyNumberFormat="1" applyFont="1" applyFill="1" applyBorder="1" applyAlignment="1">
      <x:alignment vertical="center"/>
    </x:xf>
    <x:xf numFmtId="209" fontId="12" fillId="0" borderId="0" xfId="0" applyNumberFormat="1" applyFont="1" applyFill="1" applyBorder="1" applyAlignment="1">
      <x:alignment vertical="center"/>
    </x:xf>
    <x:xf numFmtId="210" fontId="12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4" fillId="9" borderId="2" xfId="0" applyNumberFormat="1" applyFont="1" applyFill="1" applyBorder="1" applyAlignment="1">
      <x:alignment horizontal="center" vertical="center" wrapText="1"/>
    </x:xf>
    <x:xf numFmtId="0" fontId="4" fillId="9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11" fontId="1" fillId="0" borderId="4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202" fontId="1" fillId="0" borderId="4" xfId="0" applyNumberFormat="1" applyFont="1" applyFill="1" applyBorder="1" applyAlignment="1">
      <x:alignment horizontal="right" vertical="center"/>
    </x:xf>
    <x:xf numFmtId="211" fontId="1" fillId="0" borderId="4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11" fontId="1" fillId="0" borderId="0" xfId="0" applyNumberFormat="1" applyFont="1" applyFill="1" applyBorder="1" applyAlignment="1">
      <x:alignment horizontal="right" vertical="center"/>
    </x:xf>
    <x:xf numFmtId="202" fontId="6" fillId="0" borderId="4" xfId="0" applyNumberFormat="1" applyFont="1" applyFill="1" applyBorder="1" applyAlignment="1">
      <x:alignment horizontal="right" vertical="center"/>
    </x:xf>
    <x:xf numFmtId="211" fontId="6" fillId="0" borderId="4" xfId="0" applyNumberFormat="1" applyFont="1" applyFill="1" applyBorder="1" applyAlignment="1">
      <x:alignment horizontal="right" vertical="center"/>
    </x:xf>
    <x:xf numFmtId="202" fontId="6" fillId="0" borderId="0" xfId="0" applyNumberFormat="1" applyFont="1" applyFill="1" applyBorder="1" applyAlignment="1">
      <x:alignment horizontal="right" vertical="center"/>
    </x:xf>
    <x:xf numFmtId="211" fontId="6" fillId="0" borderId="0" xfId="0" applyNumberFormat="1" applyFont="1" applyFill="1" applyBorder="1" applyAlignment="1">
      <x:alignment horizontal="right" vertical="center"/>
    </x:xf>
    <x:xf numFmtId="211" fontId="14" fillId="0" borderId="4" xfId="0" applyNumberFormat="1" applyFont="1" applyFill="1" applyBorder="1" applyAlignment="1">
      <x:alignment horizontal="right" vertical="center"/>
    </x:xf>
    <x:xf numFmtId="211" fontId="14" fillId="0" borderId="0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202" fontId="1" fillId="0" borderId="5" xfId="0" applyNumberFormat="1" applyFont="1" applyFill="1" applyBorder="1" applyAlignment="1">
      <x:alignment horizontal="right" vertical="center"/>
    </x:xf>
    <x:xf numFmtId="202" fontId="6" fillId="0" borderId="5" xfId="0" applyNumberFormat="1" applyFont="1" applyFill="1" applyBorder="1" applyAlignment="1">
      <x:alignment horizontal="right" vertical="center"/>
    </x:xf>
    <x:xf numFmtId="211" fontId="14" fillId="0" borderId="5" xfId="0" applyNumberFormat="1" applyFont="1" applyFill="1" applyBorder="1" applyAlignment="1">
      <x:alignment horizontal="right" vertical="center"/>
    </x:xf>
    <x:xf numFmtId="0" fontId="1" fillId="10" borderId="4" xfId="0" applyNumberFormat="1" applyFont="1" applyFill="1" applyBorder="1" applyAlignment="1">
      <x:alignment horizontal="right" vertical="center"/>
    </x:xf>
    <x:xf numFmtId="0" fontId="1" fillId="10" borderId="0" xfId="0" applyNumberFormat="1" applyFont="1" applyFill="1" applyBorder="1" applyAlignment="1">
      <x:alignment horizontal="right" vertical="center"/>
    </x:xf>
    <x:xf numFmtId="0" fontId="1" fillId="10" borderId="5" xfId="0" applyNumberFormat="1" applyFont="1" applyFill="1" applyBorder="1" applyAlignment="1">
      <x:alignment horizontal="right" vertical="center"/>
    </x:xf>
    <x:xf numFmtId="0" fontId="5" fillId="10" borderId="4" xfId="0" applyNumberFormat="1" applyFont="1" applyFill="1" applyBorder="1" applyAlignment="1">
      <x:alignment horizontal="right" vertical="center"/>
    </x:xf>
    <x:xf numFmtId="0" fontId="5" fillId="10" borderId="0" xfId="0" applyNumberFormat="1" applyFont="1" applyFill="1" applyBorder="1" applyAlignment="1">
      <x:alignment horizontal="right" vertical="center"/>
    </x:xf>
    <x:xf numFmtId="0" fontId="5" fillId="10" borderId="5" xfId="0" applyNumberFormat="1" applyFont="1" applyFill="1" applyBorder="1" applyAlignment="1">
      <x:alignment horizontal="right" vertical="center"/>
    </x:xf>
    <x:xf numFmtId="212" fontId="5" fillId="10" borderId="4" xfId="0" applyNumberFormat="1" applyFont="1" applyFill="1" applyBorder="1" applyAlignment="1">
      <x:alignment horizontal="right" vertical="center"/>
    </x:xf>
    <x:xf numFmtId="212" fontId="5" fillId="10" borderId="0" xfId="0" applyNumberFormat="1" applyFont="1" applyFill="1" applyBorder="1" applyAlignment="1">
      <x:alignment horizontal="right" vertical="center"/>
    </x:xf>
    <x:xf numFmtId="212" fontId="5" fillId="10" borderId="5" xfId="0" applyNumberFormat="1" applyFont="1" applyFill="1" applyBorder="1" applyAlignment="1">
      <x:alignment horizontal="right" vertical="center"/>
    </x:xf>
    <x:xf numFmtId="202" fontId="1" fillId="10" borderId="4" xfId="0" applyNumberFormat="1" applyFont="1" applyFill="1" applyBorder="1" applyAlignment="1">
      <x:alignment horizontal="right" vertical="center"/>
    </x:xf>
    <x:xf numFmtId="202" fontId="1" fillId="10" borderId="0" xfId="0" applyNumberFormat="1" applyFont="1" applyFill="1" applyBorder="1" applyAlignment="1">
      <x:alignment horizontal="right" vertical="center"/>
    </x:xf>
    <x:xf numFmtId="202" fontId="1" fillId="10" borderId="5" xfId="0" applyNumberFormat="1" applyFont="1" applyFill="1" applyBorder="1" applyAlignment="1">
      <x:alignment horizontal="right" vertical="center"/>
    </x:xf>
    <x:xf numFmtId="202" fontId="5" fillId="10" borderId="4" xfId="0" applyNumberFormat="1" applyFont="1" applyFill="1" applyBorder="1" applyAlignment="1">
      <x:alignment horizontal="right" vertical="center"/>
    </x:xf>
    <x:xf numFmtId="202" fontId="5" fillId="10" borderId="0" xfId="0" applyNumberFormat="1" applyFont="1" applyFill="1" applyBorder="1" applyAlignment="1">
      <x:alignment horizontal="right" vertical="center"/>
    </x:xf>
    <x:xf numFmtId="202" fontId="5" fillId="10" borderId="5" xfId="0" applyNumberFormat="1" applyFont="1" applyFill="1" applyBorder="1" applyAlignment="1">
      <x:alignment horizontal="right" vertical="center"/>
    </x:xf>
    <x:xf numFmtId="200" fontId="5" fillId="10" borderId="4" xfId="0" applyNumberFormat="1" applyFont="1" applyFill="1" applyBorder="1" applyAlignment="1">
      <x:alignment horizontal="right" vertical="center"/>
    </x:xf>
    <x:xf numFmtId="200" fontId="5" fillId="10" borderId="0" xfId="0" applyNumberFormat="1" applyFont="1" applyFill="1" applyBorder="1" applyAlignment="1">
      <x:alignment horizontal="right" vertical="center"/>
    </x:xf>
    <x:xf numFmtId="200" fontId="5" fillId="10" borderId="5" xfId="0" applyNumberFormat="1" applyFont="1" applyFill="1" applyBorder="1" applyAlignment="1">
      <x:alignment horizontal="right" vertical="center"/>
    </x:xf>
    <x:xf numFmtId="203" fontId="1" fillId="0" borderId="4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0" borderId="5" xfId="0" applyNumberFormat="1" applyFont="1" applyFill="1" applyBorder="1" applyAlignment="1">
      <x:alignment horizontal="right" vertical="center"/>
    </x:xf>
    <x:xf numFmtId="209" fontId="5" fillId="10" borderId="0" xfId="0" applyNumberFormat="1" applyFont="1" applyFill="1" applyBorder="1" applyAlignment="1">
      <x:alignment horizontal="right" vertical="center"/>
    </x:xf>
    <x:xf numFmtId="209" fontId="5" fillId="10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9">
    <x:dxf>
      <x:font>
        <x:color rgb="FF9AA4AD"/>
      </x:font>
    </x:dxf>
    <x:dxf>
      <x:font>
        <x:color rgb="FF9AA4AD"/>
      </x:font>
    </x:dxf>
    <x:dxf>
      <x:font>
        <x:color rgb="FFA23D3B"/>
      </x:font>
    </x:dxf>
    <x:dxf>
      <x:font>
        <x:color rgb="FFA32B24"/>
      </x:font>
      <x:fill>
        <x:patternFill patternType="solid">
          <x:bgColor rgb="FFFBEAE8"/>
        </x:patternFill>
      </x:fill>
    </x:dxf>
    <x:dxf>
      <x:font>
        <x:color rgb="FFA32B24"/>
      </x:font>
      <x:fill>
        <x:patternFill patternType="solid">
          <x:bgColor rgb="FFFBEAE8"/>
        </x:patternFill>
      </x:fill>
    </x:dxf>
    <x:dxf>
      <x:font>
        <x:color rgb="FFA32B24"/>
      </x:font>
      <x:fill>
        <x:patternFill patternType="solid">
          <x:bgColor rgb="FFFBEAE8"/>
        </x:patternFill>
      </x:fill>
    </x:dxf>
    <x:dxf>
      <x:font>
        <x:color rgb="FFA32B24"/>
      </x:font>
      <x:fill>
        <x:patternFill patternType="solid">
          <x:bgColor rgb="FFFBEAE8"/>
        </x:patternFill>
      </x:fill>
    </x:dxf>
    <x:dxf>
      <x:font>
        <x:color rgb="FFA32B24"/>
      </x:font>
      <x:fill>
        <x:patternFill patternType="solid">
          <x:bgColor rgb="FFFBEAE8"/>
        </x:patternFill>
      </x:fill>
    </x:dxf>
    <x:dxf>
      <x:font>
        <x:color rgb="FFA32B24"/>
      </x:font>
      <x:fill>
        <x:patternFill patternType="solid">
          <x:bgColor rgb="FFFBEA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8d43e62f94637" /><Relationship Type="http://schemas.openxmlformats.org/officeDocument/2006/relationships/theme" Target="/xl/theme/theme1.xml" Id="R0dea7ca185044dbe" /><Relationship Type="http://schemas.openxmlformats.org/officeDocument/2006/relationships/sharedStrings" Target="/xl/sharedStrings.xml" Id="Rf57e05e0421449b5" /><Relationship Type="http://schemas.openxmlformats.org/officeDocument/2006/relationships/worksheet" Target="/xl/worksheets/sheet1.xml" Id="R0f8e450998604e94" /><Relationship Type="http://schemas.openxmlformats.org/officeDocument/2006/relationships/worksheet" Target="/xl/worksheets/sheet2.xml" Id="Rccfe062be0c14971" /><Relationship Type="http://schemas.openxmlformats.org/officeDocument/2006/relationships/worksheet" Target="/xl/worksheets/sheet3.xml" Id="Recceb6faa397463a" /><Relationship Type="http://schemas.openxmlformats.org/officeDocument/2006/relationships/worksheet" Target="/xl/worksheets/sheet4.xml" Id="R8dc02164166645a2" /><Relationship Type="http://schemas.openxmlformats.org/officeDocument/2006/relationships/worksheet" Target="/xl/worksheets/sheet5.xml" Id="R7ea5f0c674e148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495F"/>
  </x:sheetPr>
  <x:sheetViews>
    <x:sheetView showGridLines="0" workbookViewId="0"/>
  </x:sheetViews>
  <x:sheetFormatPr defaultRowHeight="15"/>
  <x:cols>
    <x:col min="1" max="1" width="3" hidden="0" customWidth="1"/>
    <x:col min="2" max="2" width="35" hidden="0" customWidth="1"/>
    <x:col min="3" max="3" width="24" hidden="0" customWidth="1"/>
    <x:col min="4" max="4" width="24" hidden="0" customWidth="1"/>
    <x:col min="5" max="5" width="19" hidden="0" customWidth="1"/>
    <x:col min="6" max="6" width="3" hidden="0" customWidth="1"/>
    <x:col min="7" max="7" width="68" hidden="0" customWidth="1"/>
    <x:col min="8" max="8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2"/>
      <x:c r="B2" s="3" t="str">
        <x:v>Texas transmission CBA</x:v>
      </x:c>
      <x:c r="C2" s="2"/>
      <x:c r="D2" s="2"/>
      <x:c r="E2" s="2"/>
      <x:c r="F2" s="2"/>
      <x:c r="G2" s="2"/>
      <x:c r="H2" s="2"/>
    </x:row>
    <x:row r="3" ht="24" customHeight="1">
      <x:c r="A3" s="2"/>
      <x:c r="B3" s="2" t="str">
        <x:v>Selected assumptions. $ million, real 2025 USD.</x:v>
      </x:c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8" customHeight="1">
      <x:c r="A5" s="2"/>
      <x:c r="B5" s="7" t="str">
        <x:v>Result</x:v>
      </x:c>
      <x:c r="C5" s="7" t="str">
        <x:v>Option 1: new lines</x:v>
      </x:c>
      <x:c r="D5" s="7" t="str">
        <x:v>Option 2: Farmland</x:v>
      </x:c>
      <x:c r="E5" s="2"/>
      <x:c r="F5" s="2"/>
      <x:c r="G5" s="2"/>
      <x:c r="H5" s="2"/>
    </x:row>
    <x:row r="6" ht="24" customHeight="1">
      <x:c r="A6" s="2"/>
      <x:c r="B6" s="43" t="str">
        <x:v>NPV including climate</x:v>
      </x:c>
      <x:c r="C6" s="46" t="n">
        <x:f>'Option 1'!C16</x:f>
        <x:v>-2463.914526267578</x:v>
      </x:c>
      <x:c r="D6" s="46" t="n">
        <x:f>'Option 2'!C16</x:f>
        <x:v>42.302361752622346</x:v>
      </x:c>
      <x:c r="E6" s="2"/>
      <x:c r="F6" s="2"/>
      <x:c r="G6" s="2" t="str">
        <x:v>NPV &gt; 0 and B/C &gt; 1: counted benefits exceed costs.</x:v>
      </x:c>
      <x:c r="H6" s="2"/>
    </x:row>
    <x:row r="7" ht="24" customHeight="1">
      <x:c r="A7" s="2"/>
      <x:c r="B7" s="43" t="str">
        <x:v>B/C including climate</x:v>
      </x:c>
      <x:c r="C7" s="47" t="n">
        <x:f>'Option 1'!C17</x:f>
        <x:v>0.2565684930590863</x:v>
      </x:c>
      <x:c r="D7" s="47" t="n">
        <x:f>'Option 2'!C17</x:f>
        <x:v>1.5758222702598523</x:v>
      </x:c>
      <x:c r="E7" s="2"/>
      <x:c r="F7" s="2"/>
      <x:c r="G7" s="2"/>
      <x:c r="H7" s="2"/>
    </x:row>
    <x:row r="8" ht="24" customHeight="1">
      <x:c r="A8" s="2"/>
      <x:c r="B8" s="2" t="str">
        <x:v>NPV excluding climate</x:v>
      </x:c>
      <x:c r="C8" s="19" t="n">
        <x:f>'Option 1'!C15</x:f>
        <x:v>-2790.29961521423</x:v>
      </x:c>
      <x:c r="D8" s="19" t="n">
        <x:f>'Option 2'!C15</x:f>
        <x:v>-2.132691212038173</x:v>
      </x:c>
      <x:c r="E8" s="2"/>
      <x:c r="F8" s="2"/>
      <x:c r="G8" s="2"/>
      <x:c r="H8" s="2"/>
    </x:row>
    <x:row r="9" ht="24" customHeight="1">
      <x:c r="A9" s="2"/>
      <x:c r="B9" s="2"/>
      <x:c r="C9" s="19"/>
      <x:c r="D9" s="19"/>
      <x:c r="E9" s="2"/>
      <x:c r="F9" s="2"/>
      <x:c r="G9" s="2"/>
      <x:c r="H9" s="2"/>
    </x:row>
    <x:row r="10" ht="24" customHeight="1">
      <x:c r="A10" s="2"/>
      <x:c r="B10" s="2" t="str">
        <x:v>Total cost PV</x:v>
      </x:c>
      <x:c r="C10" s="19" t="n">
        <x:f>'Option 1'!C18</x:f>
        <x:v>3314.245499771918</x:v>
      </x:c>
      <x:c r="D10" s="19" t="n">
        <x:f>'Option 2'!C18</x:f>
        <x:v>73.4642682950287</x:v>
      </x:c>
      <x:c r="E10" s="2"/>
      <x:c r="F10" s="2"/>
      <x:c r="G10" s="2"/>
      <x:c r="H10" s="2"/>
    </x:row>
    <x:row r="11" ht="24" customHeight="1">
      <x:c r="A11" s="2"/>
      <x:c r="B11" s="2" t="str">
        <x:v>Production savings PV</x:v>
      </x:c>
      <x:c r="C11" s="19" t="n">
        <x:f>'Option 1'!C19</x:f>
        <x:v>523.945884557688</x:v>
      </x:c>
      <x:c r="D11" s="19" t="n">
        <x:f>'Option 2'!C19</x:f>
        <x:v>71.33157708299052</x:v>
      </x:c>
      <x:c r="E11" s="2"/>
      <x:c r="F11" s="2"/>
      <x:c r="G11" s="2"/>
      <x:c r="H11" s="2"/>
    </x:row>
    <x:row r="12" ht="24" customHeight="1">
      <x:c r="A12" s="2"/>
      <x:c r="B12" s="2" t="str">
        <x:v>Climate benefits PV</x:v>
      </x:c>
      <x:c r="C12" s="19" t="n">
        <x:f>'Option 1'!C20</x:f>
        <x:v>326.38508894665114</x:v>
      </x:c>
      <x:c r="D12" s="19" t="n">
        <x:f>'Option 2'!C20</x:f>
        <x:v>44.43505296466051</x:v>
      </x:c>
      <x:c r="E12" s="2"/>
      <x:c r="F12" s="2"/>
      <x:c r="G12" s="2"/>
      <x:c r="H12" s="2"/>
    </x:row>
    <x:row r="13" ht="24" customHeight="1">
      <x:c r="A13" s="2"/>
      <x:c r="B13" s="2"/>
      <x:c r="C13" s="19"/>
      <x:c r="D13" s="19"/>
      <x:c r="E13" s="2"/>
      <x:c r="F13" s="2"/>
      <x:c r="G13" s="2"/>
      <x:c r="H13" s="2"/>
    </x:row>
    <x:row r="14" ht="24" customHeight="1">
      <x:c r="A14" s="2"/>
      <x:c r="B14" s="2" t="str">
        <x:v>Additional renewables (GWh/year)</x:v>
      </x:c>
      <x:c r="C14" s="19" t="n">
        <x:f>'Option 1'!C9/1000</x:f>
        <x:v>635.3072621525457</x:v>
      </x:c>
      <x:c r="D14" s="19" t="n">
        <x:f>'Option 2'!C9/1000</x:f>
        <x:v>86.49265177428529</x:v>
      </x:c>
      <x:c r="E14" s="2"/>
      <x:c r="F14" s="2"/>
      <x:c r="G14" s="2" t="str">
        <x:v>Physical effects are conditional on the assumed attribution.</x:v>
      </x:c>
      <x:c r="H14" s="2"/>
    </x:row>
    <x:row r="15" ht="24" customHeight="1">
      <x:c r="A15" s="2"/>
      <x:c r="B15" s="2" t="str">
        <x:v>Gas generation avoided (GWh/year)</x:v>
      </x:c>
      <x:c r="C15" s="19" t="n">
        <x:f>'Option 1'!C9/1000</x:f>
        <x:v>635.3072621525457</x:v>
      </x:c>
      <x:c r="D15" s="19" t="n">
        <x:f>'Option 2'!C9/1000</x:f>
        <x:v>86.49265177428529</x:v>
      </x:c>
      <x:c r="E15" s="2"/>
      <x:c r="F15" s="2"/>
      <x:c r="G15" s="2"/>
      <x:c r="H15" s="2"/>
    </x:row>
    <x:row r="16" ht="24" customHeight="1">
      <x:c r="A16" s="2"/>
      <x:c r="B16" s="2" t="str">
        <x:v>CO2 avoided (kt/year)</x:v>
      </x:c>
      <x:c r="C16" s="19" t="n">
        <x:f>'Option 1'!C11/1000</x:f>
        <x:v>253.71928145122754</x:v>
      </x:c>
      <x:c r="D16" s="19" t="n">
        <x:f>'Option 2'!C11/1000</x:f>
        <x:v>34.54211019818887</x:v>
      </x:c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4" customHeight="1">
      <x:c r="A19" s="2"/>
      <x:c r="B19" s="2" t="str">
        <x:v>Appraisal horizon (years)</x:v>
      </x:c>
      <x:c r="C19" s="37" t="n">
        <x:f>'Inputs'!C6</x:f>
        <x:v>20</x:v>
      </x:c>
      <x:c r="D19" s="2"/>
      <x:c r="E19" s="2"/>
      <x:c r="F19" s="2"/>
      <x:c r="G19" s="2" t="str">
        <x:v>Edit blue cells in Inputs; all formulas recalculate.</x:v>
      </x:c>
      <x:c r="H19" s="2"/>
    </x:row>
    <x:row r="20" ht="24" customHeight="1">
      <x:c r="A20" s="2"/>
      <x:c r="B20" s="2" t="str">
        <x:v>Discount convention</x:v>
      </x:c>
      <x:c r="C20" s="37" t="str">
        <x:f>'Inputs'!C7</x:f>
        <x:v>Green Book</x:v>
      </x:c>
      <x:c r="D20" s="2"/>
      <x:c r="E20" s="2"/>
      <x:c r="F20" s="2"/>
      <x:c r="G20" s="2" t="str">
        <x:v>HTML settings and this workbook are separate controls.</x:v>
      </x:c>
      <x:c r="H20" s="2"/>
    </x:row>
    <x:row r="21" ht="24" customHeight="1">
      <x:c r="A21" s="2"/>
      <x:c r="B21" s="2" t="str">
        <x:v>Gas displacement share</x:v>
      </x:c>
      <x:c r="C21" s="48" t="n">
        <x:f>'Inputs'!C14</x:f>
        <x:v>0.5</x:v>
      </x:c>
      <x:c r="D21" s="2"/>
      <x:c r="E21" s="2"/>
      <x:c r="F21" s="2"/>
      <x:c r="G21" s="2"/>
      <x:c r="H21" s="2"/>
    </x:row>
    <x:row r="22" ht="24" customHeight="1">
      <x:c r="A22" s="2"/>
      <x:c r="B22" s="2" t="str">
        <x:v>CO2 damage value ($/tonne)</x:v>
      </x:c>
      <x:c r="C22" s="55" t="n">
        <x:f>'Inputs'!C15</x:f>
        <x:v>90.51265703124996</x:v>
      </x:c>
      <x:c r="D22" s="2"/>
      <x:c r="E22" s="2"/>
      <x:c r="F22" s="2"/>
      <x:c r="G22" s="2" t="str">
        <x:v>Each option uses its own ERCOT baseline, not a shared grid case.</x:v>
      </x:c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</x:sheetData>
  <x:conditionalFormatting sqref="C6:D6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194A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5" hidden="0" customWidth="1"/>
    <x:col min="3" max="3" width="17" hidden="0" customWidth="1"/>
    <x:col min="4" max="4" width="17" hidden="0" customWidth="1"/>
    <x:col min="5" max="5" width="19" hidden="0" customWidth="1"/>
    <x:col min="6" max="6" width="3" hidden="0" customWidth="1"/>
    <x:col min="7" max="7" width="68" hidden="0" customWidth="1"/>
    <x:col min="8" max="8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2"/>
      <x:c r="B2" s="3" t="str">
        <x:v>Texas CBA: inputs and source basis</x:v>
      </x:c>
      <x:c r="C2" s="2"/>
      <x:c r="D2" s="2"/>
      <x:c r="E2" s="2"/>
      <x:c r="F2" s="2"/>
      <x:c r="G2" s="2"/>
      <x:c r="H2" s="2"/>
    </x:row>
    <x:row r="3" ht="24" customHeight="1">
      <x:c r="A3" s="2"/>
      <x:c r="B3" s="4" t="str">
        <x:v>Blue cells are editable. Values match the HTML defaults.</x:v>
      </x:c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8" customHeight="1">
      <x:c r="A5" s="2"/>
      <x:c r="B5" s="7" t="str">
        <x:v>Shared assumption</x:v>
      </x:c>
      <x:c r="C5" s="7" t="str">
        <x:v>Value</x:v>
      </x:c>
      <x:c r="D5" s="7" t="str">
        <x:v>Unit</x:v>
      </x:c>
      <x:c r="E5" s="7" t="str"/>
      <x:c r="F5" s="2"/>
      <x:c r="G5" s="2"/>
      <x:c r="H5" s="2"/>
    </x:row>
    <x:row r="6" ht="24" customHeight="1">
      <x:c r="A6" s="2"/>
      <x:c r="B6" s="2" t="str">
        <x:v>Appraisal horizon</x:v>
      </x:c>
      <x:c r="C6" s="10" t="n">
        <x:v>20</x:v>
      </x:c>
      <x:c r="D6" s="2" t="str">
        <x:v>years</x:v>
      </x:c>
      <x:c r="E6" s="2"/>
      <x:c r="F6" s="2"/>
      <x:c r="G6" s="2" t="str">
        <x:v>Compare 20, 30 and 40 years; same horizon for both projects.</x:v>
      </x:c>
      <x:c r="H6" s="2" t="str">
        <x:v>Analyst</x:v>
      </x:c>
    </x:row>
    <x:row r="7" ht="24" customHeight="1">
      <x:c r="A7" s="2"/>
      <x:c r="B7" s="2" t="str">
        <x:v>Discount convention</x:v>
      </x:c>
      <x:c r="C7" s="9" t="str">
        <x:v>Green Book</x:v>
      </x:c>
      <x:c r="D7" s="2" t="str">
        <x:v>mode</x:v>
      </x:c>
      <x:c r="E7" s="2"/>
      <x:c r="F7" s="2"/>
      <x:c r="G7" s="2" t="str">
        <x:v>Green Book schedule or a constant real rate.</x:v>
      </x:c>
      <x:c r="H7" s="2" t="str">
        <x:v>GB</x:v>
      </x:c>
    </x:row>
    <x:row r="8" ht="24" customHeight="1">
      <x:c r="A8" s="2"/>
      <x:c r="B8" s="2" t="str">
        <x:v>Constant discount rate</x:v>
      </x:c>
      <x:c r="C8" s="11" t="n">
        <x:v>0.035</x:v>
      </x:c>
      <x:c r="D8" s="2" t="str">
        <x:v>real annual rate</x:v>
      </x:c>
      <x:c r="E8" s="2"/>
      <x:c r="F8" s="2"/>
      <x:c r="G8" s="2" t="str">
        <x:v>Used only when mode is Constant.</x:v>
      </x:c>
      <x:c r="H8" s="2" t="str">
        <x:v>Analyst</x:v>
      </x:c>
    </x:row>
    <x:row r="9" ht="24" customHeight="1">
      <x:c r="A9" s="2"/>
      <x:c r="B9" s="2" t="str">
        <x:v>Green Book initial rate</x:v>
      </x:c>
      <x:c r="C9" s="11" t="n">
        <x:v>0.035</x:v>
      </x:c>
      <x:c r="D9" s="2" t="str">
        <x:v>real annual rate</x:v>
      </x:c>
      <x:c r="E9" s="2"/>
      <x:c r="F9" s="2"/>
      <x:c r="G9" s="2" t="str">
        <x:v>Applied through year 30.</x:v>
      </x:c>
      <x:c r="H9" s="2" t="str">
        <x:v>GB</x:v>
      </x:c>
    </x:row>
    <x:row r="10" ht="24" customHeight="1">
      <x:c r="A10" s="2"/>
      <x:c r="B10" s="2" t="str">
        <x:v>Green Book later rate</x:v>
      </x:c>
      <x:c r="C10" s="11" t="n">
        <x:v>0.03</x:v>
      </x:c>
      <x:c r="D10" s="2" t="str">
        <x:v>real annual rate</x:v>
      </x:c>
      <x:c r="E10" s="2"/>
      <x:c r="F10" s="2"/>
      <x:c r="G10" s="2" t="str">
        <x:v>Applied after year 30; model covers up to 60 years.</x:v>
      </x:c>
      <x:c r="H10" s="2" t="str">
        <x:v>GB</x:v>
      </x:c>
    </x:row>
    <x:row r="11" ht="24" customHeight="1">
      <x:c r="A11" s="2"/>
      <x:c r="B11" s="2" t="str">
        <x:v>Discount-rate step year</x:v>
      </x:c>
      <x:c r="C11" s="10" t="n">
        <x:v>30</x:v>
      </x:c>
      <x:c r="D11" s="2" t="str">
        <x:v>years</x:v>
      </x:c>
      <x:c r="E11" s="2"/>
      <x:c r="F11" s="2"/>
      <x:c r="G11" s="2" t="str">
        <x:v>End of first discount-rate period.</x:v>
      </x:c>
      <x:c r="H11" s="2" t="str">
        <x:v>GB</x:v>
      </x:c>
    </x:row>
    <x:row r="12" ht="24" customHeight="1">
      <x:c r="A12" s="2"/>
      <x:c r="B12" s="2" t="str">
        <x:v>Price conversion inflation</x:v>
      </x:c>
      <x:c r="C12" s="53" t="n">
        <x:v>0.025</x:v>
      </x:c>
      <x:c r="D12" s="2" t="str">
        <x:v>annual rate</x:v>
      </x:c>
      <x:c r="E12" s="2"/>
      <x:c r="F12" s="2"/>
      <x:c r="G12" s="15" t="str">
        <x:v>Fixed conversion assumption, 2.5%; not an observed price index.</x:v>
      </x:c>
      <x:c r="H12" s="2" t="str">
        <x:v>Analyst</x:v>
      </x:c>
    </x:row>
    <x:row r="13" ht="24" customHeight="1">
      <x:c r="A13" s="2"/>
      <x:c r="B13" s="2" t="str">
        <x:v>Price base</x:v>
      </x:c>
      <x:c r="C13" s="17" t="n">
        <x:v>2025</x:v>
      </x:c>
      <x:c r="D13" s="2" t="str">
        <x:v>USD price year</x:v>
      </x:c>
      <x:c r="E13" s="2"/>
      <x:c r="F13" s="2"/>
      <x:c r="G13" s="15" t="str">
        <x:v>All monetary inputs, cash flows and results use 2025 USD.</x:v>
      </x:c>
      <x:c r="H13" s="2" t="str">
        <x:v>Model</x:v>
      </x:c>
    </x:row>
    <x:row r="14" ht="36" customHeight="1">
      <x:c r="A14" s="2"/>
      <x:c r="B14" s="15" t="str">
        <x:v>Savings attributed to gas displacement</x:v>
      </x:c>
      <x:c r="C14" s="11" t="n">
        <x:v>0.5</x:v>
      </x:c>
      <x:c r="D14" s="2" t="str">
        <x:v>share</x:v>
      </x:c>
      <x:c r="E14" s="2"/>
      <x:c r="F14" s="2"/>
      <x:c r="G14" s="15" t="str">
        <x:v>Illustrative attribution of savings, not curtailment recovery rate.</x:v>
      </x:c>
      <x:c r="H14" s="2" t="str">
        <x:v>Analyst</x:v>
      </x:c>
    </x:row>
    <x:row r="15" ht="36" customHeight="1">
      <x:c r="A15" s="2"/>
      <x:c r="B15" s="2" t="str">
        <x:v>CO2 damage avoided</x:v>
      </x:c>
      <x:c r="C15" s="12" t="n">
        <x:v>90.51265703124996</x:v>
      </x:c>
      <x:c r="D15" s="2" t="str">
        <x:v>$/tCO2 (2025)</x:v>
      </x:c>
      <x:c r="E15" s="2"/>
      <x:c r="F15" s="2"/>
      <x:c r="G15" s="15" t="str">
        <x:v>Rennert (2022): $80/t in 2020 USD, 3% near-term rate; converted at 2.5%.</x:v>
      </x:c>
      <x:c r="H15" s="2" t="str">
        <x:v>SCC80</x:v>
      </x:c>
    </x:row>
    <x:row r="16" ht="24" customHeight="1">
      <x:c r="A16" s="2"/>
      <x:c r="B16" s="2" t="str">
        <x:v>Annual transmission O&amp;M</x:v>
      </x:c>
      <x:c r="C16" s="11" t="n">
        <x:v>0.01</x:v>
      </x:c>
      <x:c r="D16" s="2" t="str">
        <x:v>fraction of capex</x:v>
      </x:c>
      <x:c r="E16" s="2"/>
      <x:c r="F16" s="2"/>
      <x:c r="G16" s="15" t="str">
        <x:v>Incremental O&amp;M proxy; applied throughout appraisal horizon.</x:v>
      </x:c>
      <x:c r="H16" s="2" t="str">
        <x:v>Analyst</x:v>
      </x:c>
    </x:row>
    <x:row r="17" ht="24" customHeight="1">
      <x:c r="A17" s="2"/>
      <x:c r="B17" s="2" t="str">
        <x:v>Natural gas price</x:v>
      </x:c>
      <x:c r="C17" s="54" t="n">
        <x:v>3.394224638671873</x:v>
      </x:c>
      <x:c r="D17" s="2" t="str">
        <x:v>$/MMBtu (2025)</x:v>
      </x:c>
      <x:c r="E17" s="2"/>
      <x:c r="F17" s="2"/>
      <x:c r="G17" s="15" t="str">
        <x:v>Original assumption: $3/MMBtu in 2020 USD; converted at 2.5%.</x:v>
      </x:c>
      <x:c r="H17" s="2" t="str">
        <x:v>Analyst</x:v>
      </x:c>
    </x:row>
    <x:row r="18" ht="24" customHeight="1">
      <x:c r="A18" s="2"/>
      <x:c r="B18" s="2" t="str">
        <x:v>Gas heat rate</x:v>
      </x:c>
      <x:c r="C18" s="13" t="n">
        <x:v>7.548</x:v>
      </x:c>
      <x:c r="D18" s="2" t="str">
        <x:v>MMBtu/MWh</x:v>
      </x:c>
      <x:c r="E18" s="2"/>
      <x:c r="F18" s="2"/>
      <x:c r="G18" s="15" t="str">
        <x:v>US combined-cycle full-load average used as a proxy.</x:v>
      </x:c>
      <x:c r="H18" s="2" t="str">
        <x:v>EIA heat</x:v>
      </x:c>
    </x:row>
    <x:row r="19" ht="24" customHeight="1">
      <x:c r="A19" s="2"/>
      <x:c r="B19" s="2" t="str">
        <x:v>Gas variable O&amp;M</x:v>
      </x:c>
      <x:c r="C19" s="54" t="n">
        <x:v>3.394224638671873</x:v>
      </x:c>
      <x:c r="D19" s="2" t="str">
        <x:v>$/MWh (2025)</x:v>
      </x:c>
      <x:c r="E19" s="2"/>
      <x:c r="F19" s="2"/>
      <x:c r="G19" s="15" t="str">
        <x:v>Original assumption: $3/MWh in 2020 USD; converted at 2.5%.</x:v>
      </x:c>
      <x:c r="H19" s="2" t="str">
        <x:v>Analyst</x:v>
      </x:c>
    </x:row>
    <x:row r="20" ht="24" customHeight="1">
      <x:c r="A20" s="2"/>
      <x:c r="B20" s="2" t="str">
        <x:v>Direct gas CO2 coefficient</x:v>
      </x:c>
      <x:c r="C20" s="14" t="n">
        <x:v>52.91</x:v>
      </x:c>
      <x:c r="D20" s="2" t="str">
        <x:v>kg/MMBtu</x:v>
      </x:c>
      <x:c r="E20" s="2"/>
      <x:c r="F20" s="2"/>
      <x:c r="G20" s="15" t="str">
        <x:v>Combustion emissions; upstream methane not included.</x:v>
      </x:c>
      <x:c r="H20" s="2" t="str">
        <x:v>EIA CO2</x:v>
      </x:c>
    </x:row>
    <x:row r="21" ht="24" customHeight="1">
      <x:c r="A21" s="2"/>
      <x:c r="B21" s="2"/>
      <x:c r="C21" s="2"/>
      <x:c r="D21" s="2"/>
      <x:c r="E21" s="2"/>
      <x:c r="F21" s="2"/>
      <x:c r="G21" s="15"/>
      <x:c r="H21" s="2"/>
    </x:row>
    <x:row r="22" ht="24" customHeight="1">
      <x:c r="A22" s="2"/>
      <x:c r="B22" s="2"/>
      <x:c r="C22" s="2"/>
      <x:c r="D22" s="2"/>
      <x:c r="E22" s="2"/>
      <x:c r="F22" s="2"/>
      <x:c r="G22" s="15"/>
      <x:c r="H22" s="2"/>
    </x:row>
    <x:row r="23" ht="24" customHeight="1">
      <x:c r="A23" s="2"/>
      <x:c r="B23" s="2"/>
      <x:c r="C23" s="2"/>
      <x:c r="D23" s="2"/>
      <x:c r="E23" s="2"/>
      <x:c r="F23" s="2"/>
      <x:c r="G23" s="15"/>
      <x:c r="H23" s="2"/>
    </x:row>
    <x:row r="24" ht="28" customHeight="1">
      <x:c r="A24" s="2"/>
      <x:c r="B24" s="7" t="str">
        <x:v>Project input</x:v>
      </x:c>
      <x:c r="C24" s="7" t="str">
        <x:v>Option 1</x:v>
      </x:c>
      <x:c r="D24" s="7" t="str">
        <x:v>Option 2</x:v>
      </x:c>
      <x:c r="E24" s="7" t="str">
        <x:v>Unit</x:v>
      </x:c>
      <x:c r="F24" s="2"/>
      <x:c r="G24" s="15"/>
      <x:c r="H24" s="2"/>
    </x:row>
    <x:row r="25" ht="36" customHeight="1">
      <x:c r="A25" s="2"/>
      <x:c r="B25" s="2" t="str">
        <x:v>Selected capex</x:v>
      </x:c>
      <x:c r="C25" s="14" t="n">
        <x:v>2901.8262499999996</x:v>
      </x:c>
      <x:c r="D25" s="14" t="n">
        <x:v>64.32249578078262</x:v>
      </x:c>
      <x:c r="E25" s="2" t="str">
        <x:v>2025 $ million</x:v>
      </x:c>
      <x:c r="F25" s="2"/>
      <x:c r="G25" s="15" t="str">
        <x:v>Original: $2,762m (assumed 2023); Farmland $71m scenario (2029).</x:v>
      </x:c>
      <x:c r="H25" s="2" t="str">
        <x:v>CAPEX pp4–5</x:v>
      </x:c>
    </x:row>
    <x:row r="26" ht="24" customHeight="1">
      <x:c r="A26" s="2"/>
      <x:c r="B26" s="2" t="str">
        <x:v>Capex price year</x:v>
      </x:c>
      <x:c r="C26" s="10" t="n">
        <x:v>2025</x:v>
      </x:c>
      <x:c r="D26" s="10" t="n">
        <x:v>2025</x:v>
      </x:c>
      <x:c r="E26" s="2" t="str">
        <x:v>year</x:v>
      </x:c>
      <x:c r="F26" s="2"/>
      <x:c r="G26" s="15" t="str">
        <x:v>Both converted to 2025; source years are documented above.</x:v>
      </x:c>
      <x:c r="H26" s="2" t="str">
        <x:v>CAPEX</x:v>
      </x:c>
    </x:row>
    <x:row r="27" ht="36" customHeight="1">
      <x:c r="A27" s="2"/>
      <x:c r="B27" s="2" t="str">
        <x:v>Annual production savings</x:v>
      </x:c>
      <x:c r="C27" s="14" t="n">
        <x:v>36.86539661351404</x:v>
      </x:c>
      <x:c r="D27" s="14" t="n">
        <x:v>5.018966572190644</x:v>
      </x:c>
      <x:c r="E27" s="2" t="str">
        <x:v>2025 $m/year</x:v>
      </x:c>
      <x:c r="F27" s="2"/>
      <x:c r="G27" s="15" t="str">
        <x:v>RTP23: $39.7m/year (2028); RTP24: $5.54m/year (2029).</x:v>
      </x:c>
      <x:c r="H27" s="2" t="str">
        <x:v>RTP23 / RTP24</x:v>
      </x:c>
    </x:row>
    <x:row r="28" ht="36" customHeight="1">
      <x:c r="A28" s="2"/>
      <x:c r="B28" s="2" t="str">
        <x:v>Savings price year</x:v>
      </x:c>
      <x:c r="C28" s="10" t="n">
        <x:v>2025</x:v>
      </x:c>
      <x:c r="D28" s="10" t="n">
        <x:v>2025</x:v>
      </x:c>
      <x:c r="E28" s="2" t="str">
        <x:v>year</x:v>
      </x:c>
      <x:c r="F28" s="2"/>
      <x:c r="G28" s="15" t="str">
        <x:v>Both converted to 2025; study counterfactuals remain 2028 and 2029.</x:v>
      </x:c>
      <x:c r="H28" s="2" t="str">
        <x:v>Model</x:v>
      </x:c>
    </x:row>
    <x:row r="29" ht="24" customHeight="1">
      <x:c r="A29" s="2"/>
      <x:c r="B29" s="2" t="str">
        <x:v>Additional net harm</x:v>
      </x:c>
      <x:c r="C29" s="14" t="n">
        <x:v>0</x:v>
      </x:c>
      <x:c r="D29" s="14" t="n">
        <x:v>0</x:v>
      </x:c>
      <x:c r="E29" s="2" t="str">
        <x:v>2025 $m/year</x:v>
      </x:c>
      <x:c r="F29" s="2"/>
      <x:c r="G29" s="15" t="str">
        <x:v>Zero means not monetized, not evidence of no harm.</x:v>
      </x:c>
      <x:c r="H29" s="2" t="str">
        <x:v>Analyst</x:v>
      </x:c>
    </x:row>
    <x:row r="30" ht="24" customHeight="1">
      <x:c r="A30" s="2"/>
      <x:c r="B30" s="2"/>
      <x:c r="C30" s="2"/>
      <x:c r="D30" s="2"/>
      <x:c r="E30" s="2"/>
      <x:c r="F30" s="2"/>
      <x:c r="G30" s="15"/>
      <x:c r="H30" s="2"/>
    </x:row>
    <x:row r="31" ht="24" customHeight="1">
      <x:c r="A31" s="2"/>
      <x:c r="B31" s="2"/>
      <x:c r="C31" s="2"/>
      <x:c r="D31" s="2"/>
      <x:c r="E31" s="2"/>
      <x:c r="F31" s="2"/>
      <x:c r="G31" s="15"/>
      <x:c r="H31" s="2"/>
    </x:row>
    <x:row r="32" ht="24" customHeight="1">
      <x:c r="A32" s="2"/>
      <x:c r="B32" s="2"/>
      <x:c r="C32" s="2"/>
      <x:c r="D32" s="2"/>
      <x:c r="E32" s="2"/>
      <x:c r="F32" s="2"/>
      <x:c r="G32" s="15"/>
      <x:c r="H32" s="2"/>
    </x:row>
    <x:row r="33" ht="28" customHeight="1">
      <x:c r="A33" s="2"/>
      <x:c r="B33" s="7" t="str">
        <x:v>Farmland cost estimate inputs</x:v>
      </x:c>
      <x:c r="C33" s="7" t="str">
        <x:v>Value</x:v>
      </x:c>
      <x:c r="D33" s="7" t="str">
        <x:v>Unit</x:v>
      </x:c>
      <x:c r="E33" s="7" t="str"/>
      <x:c r="F33" s="2"/>
      <x:c r="G33" s="15"/>
      <x:c r="H33" s="2"/>
    </x:row>
    <x:row r="34" ht="36" customHeight="1">
      <x:c r="A34" s="2"/>
      <x:c r="B34" s="2" t="str">
        <x:v>Long Draw generic estimate</x:v>
      </x:c>
      <x:c r="C34" s="14" t="n">
        <x:v>35.72125</x:v>
      </x:c>
      <x:c r="D34" s="2" t="str">
        <x:v>2025 $ million</x:v>
      </x:c>
      <x:c r="E34" s="2"/>
      <x:c r="F34" s="2"/>
      <x:c r="G34" s="15" t="str">
        <x:v>Original $34m, treated as 2023 prices; single-line scope proxy.</x:v>
      </x:c>
      <x:c r="H34" s="2" t="str">
        <x:v>RTP23 p20</x:v>
      </x:c>
    </x:row>
    <x:row r="35" ht="36" customHeight="1">
      <x:c r="A35" s="2"/>
      <x:c r="B35" s="2" t="str">
        <x:v>Long Draw input price year</x:v>
      </x:c>
      <x:c r="C35" s="10" t="n">
        <x:v>2025</x:v>
      </x:c>
      <x:c r="D35" s="2" t="str">
        <x:v>year</x:v>
      </x:c>
      <x:c r="E35" s="2"/>
      <x:c r="F35" s="2"/>
      <x:c r="G35" s="15" t="str">
        <x:v>Converted to 2025; source price year unspecified, 2023 proxy.</x:v>
      </x:c>
      <x:c r="H35" s="2" t="str">
        <x:v>Analyst</x:v>
      </x:c>
    </x:row>
    <x:row r="36" ht="24" customHeight="1">
      <x:c r="A36" s="2"/>
      <x:c r="B36" s="2" t="str">
        <x:v>Fiddlewood route length</x:v>
      </x:c>
      <x:c r="C36" s="14" t="n">
        <x:v>37.36</x:v>
      </x:c>
      <x:c r="D36" s="2" t="str">
        <x:v>pole miles</x:v>
      </x:c>
      <x:c r="E36" s="2"/>
      <x:c r="F36" s="2"/>
      <x:c r="G36" s="15" t="str">
        <x:v>One 345-kV circuit, Oncor Form 1.</x:v>
      </x:c>
      <x:c r="H36" s="2" t="str">
        <x:v>Oncor p422.2</x:v>
      </x:c>
    </x:row>
    <x:row r="37" ht="36" customHeight="1">
      <x:c r="A37" s="2"/>
      <x:c r="B37" s="2" t="str">
        <x:v>Reconductoring unit cost</x:v>
      </x:c>
      <x:c r="C37" s="54" t="n">
        <x:v>0.6355</x:v>
      </x:c>
      <x:c r="D37" s="2" t="str">
        <x:v>2025 $m/circuit-mile</x:v>
      </x:c>
      <x:c r="E37" s="2"/>
      <x:c r="F37" s="2"/>
      <x:c r="G37" s="15" t="str">
        <x:v>Original $0.62m/mile, treated as 2024 prices; reuse structures/ROW.</x:v>
      </x:c>
      <x:c r="H37" s="2" t="str">
        <x:v>MISO pp50–52</x:v>
      </x:c>
    </x:row>
    <x:row r="38" ht="36" customHeight="1">
      <x:c r="A38" s="2"/>
      <x:c r="B38" s="2" t="str">
        <x:v>Terminal unit allowance</x:v>
      </x:c>
      <x:c r="C38" s="54" t="n">
        <x:v>3.4849999999999994</x:v>
      </x:c>
      <x:c r="D38" s="2" t="str">
        <x:v>2025 $m/position</x:v>
      </x:c>
      <x:c r="E38" s="2"/>
      <x:c r="F38" s="2"/>
      <x:c r="G38" s="15" t="str">
        <x:v>Original $3.4m/position, treated as 2024 prices; terminal proxy.</x:v>
      </x:c>
      <x:c r="H38" s="2" t="str">
        <x:v>MISO pp50–52</x:v>
      </x:c>
    </x:row>
    <x:row r="39" ht="24" customHeight="1">
      <x:c r="A39" s="2"/>
      <x:c r="B39" s="2" t="str">
        <x:v>Additional terminal positions</x:v>
      </x:c>
      <x:c r="C39" s="10" t="n">
        <x:v>2</x:v>
      </x:c>
      <x:c r="D39" s="2" t="str">
        <x:v>positions</x:v>
      </x:c>
      <x:c r="E39" s="2"/>
      <x:c r="F39" s="2"/>
      <x:c r="G39" s="15" t="str">
        <x:v>Analyst allowance; engineering requirement unverified.</x:v>
      </x:c>
      <x:c r="H39" s="2" t="str">
        <x:v>Analyst</x:v>
      </x:c>
    </x:row>
    <x:row r="40" ht="24" customHeight="1">
      <x:c r="A40" s="2"/>
      <x:c r="B40" s="2" t="str">
        <x:v>Included financing factor</x:v>
      </x:c>
      <x:c r="C40" s="11" t="n">
        <x:v>0.075</x:v>
      </x:c>
      <x:c r="D40" s="2" t="str">
        <x:v>fraction</x:v>
      </x:c>
      <x:c r="E40" s="2"/>
      <x:c r="F40" s="2"/>
      <x:c r="G40" s="15" t="str">
        <x:v>Identifiable AFUDC removed from MISO estimates.</x:v>
      </x:c>
      <x:c r="H40" s="2" t="str">
        <x:v>MISO pp4–5</x:v>
      </x:c>
    </x:row>
    <x:row r="41" ht="24" customHeight="1">
      <x:c r="A41" s="2"/>
      <x:c r="B41" s="2" t="str">
        <x:v>MISO input price year</x:v>
      </x:c>
      <x:c r="C41" s="10" t="n">
        <x:v>2025</x:v>
      </x:c>
      <x:c r="D41" s="2" t="str">
        <x:v>year</x:v>
      </x:c>
      <x:c r="E41" s="2"/>
      <x:c r="F41" s="2"/>
      <x:c r="G41" s="15" t="str">
        <x:v>Converted to 2025; original unit rates treated as 2024 prices.</x:v>
      </x:c>
      <x:c r="H41" s="2" t="str">
        <x:v>MISO</x:v>
      </x:c>
    </x:row>
    <x:row r="42" ht="24" customHeight="1">
      <x:c r="A42" s="2"/>
      <x:c r="B42" s="2" t="str">
        <x:v>Cost estimate price year</x:v>
      </x:c>
      <x:c r="C42" s="10" t="n">
        <x:v>2025</x:v>
      </x:c>
      <x:c r="D42" s="2" t="str">
        <x:v>year</x:v>
      </x:c>
      <x:c r="E42" s="2"/>
      <x:c r="F42" s="2"/>
      <x:c r="G42" s="15" t="str">
        <x:v>All cost components and the selected capex use 2025 USD.</x:v>
      </x:c>
      <x:c r="H42" s="2" t="str">
        <x:v>Model</x:v>
      </x:c>
    </x:row>
    <x:row r="43" ht="36" customHeight="1">
      <x:c r="A43" s="2"/>
      <x:c r="B43" s="2" t="str">
        <x:v>Long Draw existing route length</x:v>
      </x:c>
      <x:c r="C43" s="51" t="n">
        <x:v>22.79</x:v>
      </x:c>
      <x:c r="D43" s="2" t="str">
        <x:v>pole miles</x:v>
      </x:c>
      <x:c r="E43" s="2"/>
      <x:c r="F43" s="2"/>
      <x:c r="G43" s="15" t="str">
        <x:v>Oncor NTU 2023 Form 1, p422, row 23; existing length.</x:v>
      </x:c>
      <x:c r="H43" s="2" t="str">
        <x:v>Oncor NTU</x:v>
      </x:c>
    </x:row>
    <x:row r="44" ht="36" customHeight="1">
      <x:c r="A44" s="2"/>
      <x:c r="B44" s="2" t="str">
        <x:v>Total existing line length</x:v>
      </x:c>
      <x:c r="C44" s="49" t="n">
        <x:f>C36+C43</x:f>
        <x:v>60.15</x:v>
      </x:c>
      <x:c r="D44" s="2" t="str">
        <x:v>pole miles</x:v>
      </x:c>
      <x:c r="E44" s="2"/>
      <x:c r="F44" s="2"/>
      <x:c r="G44" s="15" t="str">
        <x:v>Assumed upgrade of both full lines; engineering scope unverified.</x:v>
      </x:c>
      <x:c r="H44" s="2" t="str">
        <x:v>Scope assumption</x:v>
      </x:c>
    </x:row>
    <x:row r="45" ht="24" customHeight="1">
      <x:c r="A45" s="2"/>
      <x:c r="B45" s="18" t="str">
        <x:v>Accounting assumptions</x:v>
      </x:c>
      <x:c r="C45" s="2"/>
      <x:c r="D45" s="2"/>
      <x:c r="E45" s="2"/>
      <x:c r="F45" s="2"/>
      <x:c r="G45" s="2"/>
      <x:c r="H45" s="2"/>
    </x:row>
    <x:row r="46" ht="24" customHeight="1">
      <x:c r="A46" s="2"/>
      <x:c r="B46" s="2" t="str">
        <x:v>Capex at year 0. Benefits, O&amp;M and entered harm at each year-end from year 1. Residual value is zero.</x:v>
      </x:c>
      <x:c r="C46" s="2"/>
      <x:c r="D46" s="2"/>
      <x:c r="E46" s="2"/>
      <x:c r="F46" s="2"/>
      <x:c r="G46" s="2"/>
      <x:c r="H46" s="2"/>
    </x:row>
    <x:row r="47" ht="24" customHeight="1">
      <x:c r="A47" s="2"/>
      <x:c r="B47" s="2" t="str">
        <x:v>Annual real effects are constant. Recovered existing renewables have zero incremental production cost.</x:v>
      </x:c>
      <x:c r="C47" s="2"/>
      <x:c r="D47" s="2"/>
      <x:c r="E47" s="2"/>
      <x:c r="F47" s="2"/>
      <x:c r="G47" s="2"/>
      <x:c r="H47" s="2"/>
    </x:row>
    <x:row r="48" ht="24" customHeight="1">
      <x:c r="A48" s="2"/>
      <x:c r="B48" s="2" t="str">
        <x:v>Inferred renewable MWh displace equal gas MWh. Other redispatch, losses, demand and storage changes are zero.</x:v>
      </x:c>
      <x:c r="C48" s="2"/>
      <x:c r="D48" s="2"/>
      <x:c r="E48" s="2"/>
      <x:c r="F48" s="2"/>
      <x:c r="G48" s="2"/>
      <x:c r="H48" s="2"/>
    </x:row>
    <x:row r="49" ht="24" customHeight="1">
      <x:c r="A49" s="2"/>
      <x:c r="B49" s="2" t="str">
        <x:v>Fuel savings are already in production savings. Climate benefits are added once, using direct gas CO2.</x:v>
      </x:c>
      <x:c r="C49" s="2"/>
      <x:c r="D49" s="2"/>
      <x:c r="E49" s="2"/>
      <x:c r="F49" s="2"/>
      <x:c r="G49" s="2"/>
      <x:c r="H49" s="2"/>
    </x:row>
    <x:row r="50" ht="24" customHeight="1">
      <x:c r="A50" s="2"/>
      <x:c r="B50" s="2" t="str">
        <x:v>Health, reliability, avoided new plants, methane, construction emissions and local harm are not monetized.</x:v>
      </x:c>
      <x:c r="C50" s="2"/>
      <x:c r="D50" s="2"/>
      <x:c r="E50" s="2"/>
      <x:c r="F50" s="2"/>
      <x:c r="G50" s="2"/>
      <x:c r="H50" s="2"/>
    </x:row>
    <x:row r="51" ht="24" customHeight="1">
      <x:c r="A51" s="2"/>
      <x:c r="B51" s="2" t="str">
        <x:v>Option 1: 2023 RTP 2028 base grid. Option 2: 2024 RTP 2029 base grid. These are different counterfactuals.</x:v>
      </x:c>
      <x:c r="C51" s="2"/>
      <x:c r="D51" s="2"/>
      <x:c r="E51" s="2"/>
      <x:c r="F51" s="2"/>
      <x:c r="G51" s="2"/>
      <x:c r="H51" s="2"/>
    </x:row>
    <x:row r="52" ht="24" customHeight="1">
      <x:c r="A52" s="2"/>
      <x:c r="B52" s="2" t="str">
        <x:v>The earlier 2030 long-term 4AC scenario estimated $642m/year; it is not the selected 2028 benefit scenario.</x:v>
      </x:c>
      <x:c r="C52" s="2"/>
      <x:c r="D52" s="2"/>
      <x:c r="E52" s="2"/>
      <x:c r="F52" s="2"/>
      <x:c r="G52" s="2"/>
      <x:c r="H52" s="2"/>
    </x:row>
    <x:row r="53" ht="24" customHeight="1">
      <x:c r="A53" s="2"/>
      <x:c r="B53" s="2" t="str">
        <x:v>Changing gas prices tests the conversion to MWh; this workbook does not rerun an electricity dispatch model.</x:v>
      </x:c>
      <x:c r="C53" s="2"/>
      <x:c r="D53" s="2"/>
      <x:c r="E53" s="2"/>
      <x:c r="F53" s="2"/>
      <x:c r="G53" s="2"/>
      <x:c r="H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</x:row>
    <x:row r="55" ht="28" customHeight="1">
      <x:c r="A55" s="2"/>
      <x:c r="B55" s="7" t="str">
        <x:v>Source key</x:v>
      </x:c>
      <x:c r="C55" s="7" t="str">
        <x:v>Document</x:v>
      </x:c>
      <x:c r="D55" s="7" t="str"/>
      <x:c r="E55" s="7" t="str"/>
      <x:c r="F55" s="2"/>
      <x:c r="G55" s="2"/>
      <x:c r="H55" s="2"/>
    </x:row>
    <x:row r="56" ht="48" customHeight="1">
      <x:c r="A56" s="2"/>
      <x:c r="B56" s="2" t="str">
        <x:v>CAPEX</x:v>
      </x:c>
      <x:c r="C56" s="2" t="str">
        <x:v>ERCOT — Economic Study Update, December 2023</x:v>
      </x:c>
      <x:c r="D56" s="2"/>
      <x:c r="E56" s="2"/>
      <x:c r="F56" s="2"/>
      <x:c r="G56" s="15" t="str">
        <x:v>https://www.ercot.com/files/docs/2023/12/12/ERCOT_Economic_Study_Update_Dec2023_RPG.pdf</x:v>
      </x:c>
      <x:c r="H56" s="2"/>
    </x:row>
    <x:row r="57" ht="48" customHeight="1">
      <x:c r="A57" s="2"/>
      <x:c r="B57" s="2" t="str">
        <x:v>RTP23</x:v>
      </x:c>
      <x:c r="C57" s="2" t="str">
        <x:v>ERCOT 2023 RTP Economic Study Results</x:v>
      </x:c>
      <x:c r="D57" s="2"/>
      <x:c r="E57" s="2"/>
      <x:c r="F57" s="2"/>
      <x:c r="G57" s="15" t="str">
        <x:v>https://www.ercot.com/files/docs/2024/01/16/2023%20RTP%20Economic%20Study%20Results_v2.0.pdf</x:v>
      </x:c>
      <x:c r="H57" s="2"/>
    </x:row>
    <x:row r="58" ht="48" customHeight="1">
      <x:c r="A58" s="2"/>
      <x:c r="B58" s="2" t="str">
        <x:v>RTP24</x:v>
      </x:c>
      <x:c r="C58" s="2" t="str">
        <x:v>ERCOT 2024 RTP Economic Study</x:v>
      </x:c>
      <x:c r="D58" s="2"/>
      <x:c r="E58" s="2"/>
      <x:c r="F58" s="2"/>
      <x:c r="G58" s="15" t="str">
        <x:v>https://www.ercot.com/files/docs/2024/12/13/2024-rtp-economic-study_20241216.pdf</x:v>
      </x:c>
      <x:c r="H58" s="2"/>
    </x:row>
    <x:row r="59" ht="48" customHeight="1">
      <x:c r="A59" s="2"/>
      <x:c r="B59" s="2" t="str">
        <x:v>EIA heat</x:v>
      </x:c>
      <x:c r="C59" s="2" t="str">
        <x:v>EIA Electric Power Annual, Table 8.2</x:v>
      </x:c>
      <x:c r="D59" s="2"/>
      <x:c r="E59" s="2"/>
      <x:c r="F59" s="2"/>
      <x:c r="G59" s="15" t="str">
        <x:v>https://www.eia.gov/electricity/annual/table.php?t=epa_08_02.html</x:v>
      </x:c>
      <x:c r="H59" s="2"/>
    </x:row>
    <x:row r="60" ht="48" customHeight="1">
      <x:c r="A60" s="2"/>
      <x:c r="B60" s="2" t="str">
        <x:v>EIA CO2</x:v>
      </x:c>
      <x:c r="C60" s="2" t="str">
        <x:v>EIA Carbon Dioxide Emissions Coefficients</x:v>
      </x:c>
      <x:c r="D60" s="2"/>
      <x:c r="E60" s="2"/>
      <x:c r="F60" s="2"/>
      <x:c r="G60" s="15" t="str">
        <x:v>https://www.eia.gov/environment/emissions/co2_vol_mass.php</x:v>
      </x:c>
      <x:c r="H60" s="2"/>
    </x:row>
    <x:row r="61" ht="48" customHeight="1">
      <x:c r="A61" s="2"/>
      <x:c r="B61" s="2" t="str">
        <x:v>GB</x:v>
      </x:c>
      <x:c r="C61" s="2" t="str">
        <x:v>HM Treasury — Green Book discounting</x:v>
      </x:c>
      <x:c r="D61" s="2"/>
      <x:c r="E61" s="2"/>
      <x:c r="F61" s="2"/>
      <x:c r="G61" s="15" t="str">
        <x:v>https://www.gov.uk/government/publications/green-book-discount-rate-review-2026/review-of-discounting-in-the-green-book-terms-of-reference</x:v>
      </x:c>
      <x:c r="H61" s="2"/>
    </x:row>
    <x:row r="62" ht="48" customHeight="1">
      <x:c r="A62" s="2"/>
      <x:c r="B62" s="2" t="str">
        <x:v>SCC80</x:v>
      </x:c>
      <x:c r="C62" s="2" t="str">
        <x:v>Rennert et al. (2022), Nature — Comprehensive evidence implies a higher social cost of CO2</x:v>
      </x:c>
      <x:c r="D62" s="2"/>
      <x:c r="E62" s="2"/>
      <x:c r="F62" s="2"/>
      <x:c r="G62" s="15" t="str">
        <x:v>https://www.nature.com/articles/s41586-022-05224-9</x:v>
      </x:c>
      <x:c r="H62" s="2"/>
    </x:row>
    <x:row r="63" ht="48" customHeight="1">
      <x:c r="A63" s="2"/>
      <x:c r="B63" s="2" t="str">
        <x:v>MISO</x:v>
      </x:c>
      <x:c r="C63" s="2" t="str">
        <x:v>MISO MTEP24 cost estimation guide, draft redline</x:v>
      </x:c>
      <x:c r="D63" s="2"/>
      <x:c r="E63" s="2"/>
      <x:c r="F63" s="2"/>
      <x:c r="G63" s="15" t="str">
        <x:v>https://cdn.misoenergy.org/20240131%20PSC%20Item%2005%20Transmission%20Cost%20Estimation%20Guide%20for%20MTEP24%20-%20Redline631529.pdf</x:v>
      </x:c>
      <x:c r="H63" s="2"/>
    </x:row>
    <x:row r="64" ht="48" customHeight="1">
      <x:c r="A64" s="2"/>
      <x:c r="B64" s="2" t="str">
        <x:v>Oncor</x:v>
      </x:c>
      <x:c r="C64" s="2" t="str">
        <x:v>Oncor 2025 FERC Form 1</x:v>
      </x:c>
      <x:c r="D64" s="2"/>
      <x:c r="E64" s="2"/>
      <x:c r="F64" s="2"/>
      <x:c r="G64" s="15" t="str">
        <x:v>https://www.oncor.com/content/dam/oncorwww/documents/investorrelations/ferc-form/Oncor%20FERC%20Form%201%2025%204.17.26.pdf</x:v>
      </x:c>
      <x:c r="H64" s="2"/>
    </x:row>
    <x:row r="65" ht="48" customHeight="1">
      <x:c r="A65" s="2"/>
      <x:c r="B65" s="2" t="str">
        <x:v>LT West Texas</x:v>
      </x:c>
      <x:c r="C65" s="2" t="str">
        <x:v>ERCOT Long-Term West Texas Export Study, Jan 2022, Table 1</x:v>
      </x:c>
      <x:c r="D65" s="2"/>
      <x:c r="E65" s="2"/>
      <x:c r="F65" s="2"/>
      <x:c r="G65" s="15" t="str">
        <x:v>https://www.ercot.com/files/docs/2022/01/14/Long-Term-West-Texas-Export-Study-Report.pdf</x:v>
      </x:c>
      <x:c r="H65" s="2"/>
    </x:row>
    <x:row r="66" ht="48" customHeight="1">
      <x:c r="A66" s="2"/>
      <x:c r="B66" s="2" t="str">
        <x:v>Oncor NTU</x:v>
      </x:c>
      <x:c r="C66" s="2" t="str">
        <x:v>Oncor Electric Delivery Company NTU LLC 2023 FERC Form 1</x:v>
      </x:c>
      <x:c r="D66" s="2"/>
      <x:c r="E66" s="2"/>
      <x:c r="F66" s="2"/>
      <x:c r="G66" s="15" t="str">
        <x:v>https://interchange.puc.texas.gov/Documents/35588_499_1384811.PDF</x:v>
      </x:c>
      <x:c r="H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</x:row>
  </x:sheetData>
  <x:dataValidations count="4">
    <x:dataValidation type="list" sqref="C7">
      <x:formula1>"Green Book,Constant"</x:formula1>
    </x:dataValidation>
    <x:dataValidation type="whole" operator="equal" sqref="C13">
      <x:formula1>2025</x:formula1>
    </x:dataValidation>
    <x:dataValidation type="whole" operator="between" sqref="C6">
      <x:formula1>1</x:formula1>
      <x:formula2>60</x:formula2>
    </x:dataValidation>
    <x:dataValidation type="decimal" operator="between" sqref="C14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35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9" hidden="0" customWidth="1"/>
    <x:col min="13" max="13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2"/>
      <x:c r="B2" s="3" t="str">
        <x:v>Option 1: major new lines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/>
      <x:c r="B3" s="4" t="str">
        <x:v>Money: $ million, real 2025 USD. Electricity and emissions are conditional estimates.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A5" s="2"/>
      <x:c r="B5" s="19" t="str">
        <x:v>Appraisal horizon</x:v>
      </x:c>
      <x:c r="C5" s="22" t="n">
        <x:f>'Inputs'!C6</x:f>
        <x:v>20</x:v>
      </x:c>
      <x:c r="D5" s="2"/>
      <x:c r="E5" s="32"/>
      <x:c r="F5" s="32"/>
      <x:c r="G5" s="32"/>
      <x:c r="H5" s="32"/>
      <x:c r="I5" s="32"/>
      <x:c r="J5" s="32"/>
      <x:c r="K5" s="32"/>
      <x:c r="L5" s="32"/>
      <x:c r="M5" s="32"/>
    </x:row>
    <x:row r="6" ht="24" customHeight="1">
      <x:c r="A6" s="2"/>
      <x:c r="B6" s="19" t="str">
        <x:v>Capex in common prices</x:v>
      </x:c>
      <x:c r="C6" s="20" t="n">
        <x:f>'Inputs'!C25/(1+'Inputs'!$C$12)^('Inputs'!C26-'Inputs'!$C$13)</x:f>
        <x:v>2901.8262499999996</x:v>
      </x:c>
      <x:c r="D6" s="2"/>
      <x:c r="E6" s="32" t="str">
        <x:v>Selected capex (2025 USD)</x:v>
      </x:c>
      <x:c r="F6" s="32"/>
      <x:c r="G6" s="32"/>
      <x:c r="H6" s="32"/>
      <x:c r="I6" s="32"/>
      <x:c r="J6" s="32"/>
      <x:c r="K6" s="32"/>
      <x:c r="L6" s="32"/>
      <x:c r="M6" s="32"/>
    </x:row>
    <x:row r="7" ht="24" customHeight="1">
      <x:c r="A7" s="2"/>
      <x:c r="B7" s="19" t="str">
        <x:v>Annual production savings</x:v>
      </x:c>
      <x:c r="C7" s="20" t="n">
        <x:f>'Inputs'!C27/(1+'Inputs'!$C$12)^('Inputs'!C28-'Inputs'!$C$13)</x:f>
        <x:v>36.86539661351404</x:v>
      </x:c>
      <x:c r="D7" s="2"/>
      <x:c r="E7" s="32" t="str">
        <x:v>Annual production savings (2025 USD)</x:v>
      </x:c>
      <x:c r="F7" s="32"/>
      <x:c r="G7" s="32"/>
      <x:c r="H7" s="32"/>
      <x:c r="I7" s="32"/>
      <x:c r="J7" s="32"/>
      <x:c r="K7" s="32"/>
      <x:c r="L7" s="32"/>
      <x:c r="M7" s="32"/>
    </x:row>
    <x:row r="8" ht="24" customHeight="1">
      <x:c r="A8" s="2"/>
      <x:c r="B8" s="19" t="str">
        <x:v>Gas marginal cost ($/MWh)</x:v>
      </x:c>
      <x:c r="C8" s="23" t="n">
        <x:f>'Inputs'!C17*'Inputs'!C18+'Inputs'!C19</x:f>
        <x:v>29.01383221136717</x:v>
      </x:c>
      <x:c r="D8" s="2"/>
      <x:c r="E8" s="32" t="str">
        <x:v>Gas price × heat rate + variable O&amp;M</x:v>
      </x:c>
      <x:c r="F8" s="32"/>
      <x:c r="G8" s="32"/>
      <x:c r="H8" s="32"/>
      <x:c r="I8" s="32"/>
      <x:c r="J8" s="32"/>
      <x:c r="K8" s="32"/>
      <x:c r="L8" s="32"/>
      <x:c r="M8" s="32"/>
    </x:row>
    <x:row r="9" ht="24" customHeight="1">
      <x:c r="A9" s="2"/>
      <x:c r="B9" s="19" t="str">
        <x:v>Additional renewables (MWh/year)</x:v>
      </x:c>
      <x:c r="C9" s="24" t="n">
        <x:f>C7*1000000*'Inputs'!C14/C8</x:f>
        <x:v>635307.2621525457</x:v>
      </x:c>
      <x:c r="D9" s="2"/>
      <x:c r="E9" s="32" t="str">
        <x:v>Savings × assumed share / gas marginal cost</x:v>
      </x:c>
      <x:c r="F9" s="32"/>
      <x:c r="G9" s="32"/>
      <x:c r="H9" s="32"/>
      <x:c r="I9" s="32"/>
      <x:c r="J9" s="32"/>
      <x:c r="K9" s="32"/>
      <x:c r="L9" s="32"/>
      <x:c r="M9" s="32"/>
    </x:row>
    <x:row r="10" ht="24" customHeight="1">
      <x:c r="A10" s="2"/>
      <x:c r="B10" s="19" t="str">
        <x:v>Gas fuel avoided (MMBtu/year)</x:v>
      </x:c>
      <x:c r="C10" s="24" t="n">
        <x:f>C9*'Inputs'!C18</x:f>
        <x:v>4795299.214727416</x:v>
      </x:c>
      <x:c r="D10" s="2"/>
      <x:c r="E10" s="32" t="str">
        <x:v>Displaced gas MWh × heat rate</x:v>
      </x:c>
      <x:c r="F10" s="32"/>
      <x:c r="G10" s="32"/>
      <x:c r="H10" s="32"/>
      <x:c r="I10" s="32"/>
      <x:c r="J10" s="32"/>
      <x:c r="K10" s="32"/>
      <x:c r="L10" s="32"/>
      <x:c r="M10" s="32"/>
    </x:row>
    <x:row r="11" ht="24" customHeight="1">
      <x:c r="A11" s="2"/>
      <x:c r="B11" s="19" t="str">
        <x:v>CO2 avoided (tonnes/year)</x:v>
      </x:c>
      <x:c r="C11" s="24" t="n">
        <x:f>C10*'Inputs'!C20/1000</x:f>
        <x:v>253719.28145122755</x:v>
      </x:c>
      <x:c r="D11" s="2"/>
      <x:c r="E11" s="32" t="str">
        <x:v>Gas fuel × emissions coefficient / 1,000</x:v>
      </x:c>
      <x:c r="F11" s="32"/>
      <x:c r="G11" s="32"/>
      <x:c r="H11" s="32"/>
      <x:c r="I11" s="32"/>
      <x:c r="J11" s="32"/>
      <x:c r="K11" s="32"/>
      <x:c r="L11" s="32"/>
      <x:c r="M11" s="32"/>
    </x:row>
    <x:row r="12" ht="24" customHeight="1">
      <x:c r="A12" s="2"/>
      <x:c r="B12" s="19" t="str">
        <x:v>Annual climate benefit</x:v>
      </x:c>
      <x:c r="C12" s="20" t="n">
        <x:f>C11*'Inputs'!C15/1000000</x:f>
        <x:v>22.96480630421014</x:v>
      </x:c>
      <x:c r="D12" s="2"/>
      <x:c r="E12" s="32" t="str">
        <x:v>CO2 × damage value / 1,000,000</x:v>
      </x:c>
      <x:c r="F12" s="32"/>
      <x:c r="G12" s="32"/>
      <x:c r="H12" s="32"/>
      <x:c r="I12" s="32"/>
      <x:c r="J12" s="32"/>
      <x:c r="K12" s="32"/>
      <x:c r="L12" s="32"/>
      <x:c r="M12" s="32"/>
    </x:row>
    <x:row r="13" ht="24" customHeight="1">
      <x:c r="A13" s="2"/>
      <x:c r="B13" s="19" t="str">
        <x:v>Annual transmission O&amp;M</x:v>
      </x:c>
      <x:c r="C13" s="20" t="n">
        <x:f>C6*'Inputs'!C16</x:f>
        <x:v>29.018262499999995</x:v>
      </x:c>
      <x:c r="D13" s="2"/>
      <x:c r="E13" s="32"/>
      <x:c r="F13" s="32"/>
      <x:c r="G13" s="32"/>
      <x:c r="H13" s="32"/>
      <x:c r="I13" s="32"/>
      <x:c r="J13" s="32"/>
      <x:c r="K13" s="32"/>
      <x:c r="L13" s="32"/>
      <x:c r="M13" s="32"/>
    </x:row>
    <x:row r="14" ht="24" customHeight="1">
      <x:c r="A14" s="2"/>
      <x:c r="B14" s="19" t="str">
        <x:v>Annual additional net harm</x:v>
      </x:c>
      <x:c r="C14" s="20" t="n">
        <x:f>'Inputs'!C29</x:f>
        <x:v>0</x:v>
      </x:c>
      <x:c r="D14" s="2"/>
      <x:c r="E14" s="32"/>
      <x:c r="F14" s="32"/>
      <x:c r="G14" s="32"/>
      <x:c r="H14" s="32"/>
      <x:c r="I14" s="32"/>
      <x:c r="J14" s="32"/>
      <x:c r="K14" s="32"/>
      <x:c r="L14" s="32"/>
      <x:c r="M14" s="32"/>
    </x:row>
    <x:row r="15" ht="24" customHeight="1">
      <x:c r="A15" s="2"/>
      <x:c r="B15" s="28" t="str">
        <x:v>NPV excluding climate</x:v>
      </x:c>
      <x:c r="C15" s="29" t="n">
        <x:f>L85</x:f>
        <x:v>-2790.29961521423</x:v>
      </x:c>
      <x:c r="D15" s="2"/>
      <x:c r="E15" s="32"/>
      <x:c r="F15" s="32"/>
      <x:c r="G15" s="32"/>
      <x:c r="H15" s="32"/>
      <x:c r="I15" s="32"/>
      <x:c r="J15" s="32"/>
      <x:c r="K15" s="32"/>
      <x:c r="L15" s="32"/>
      <x:c r="M15" s="32"/>
    </x:row>
    <x:row r="16" ht="24" customHeight="1">
      <x:c r="A16" s="2"/>
      <x:c r="B16" s="28" t="str">
        <x:v>NPV including climate</x:v>
      </x:c>
      <x:c r="C16" s="29" t="n">
        <x:f>M85</x:f>
        <x:v>-2463.914526267578</x:v>
      </x:c>
      <x:c r="D16" s="2"/>
      <x:c r="E16" s="32"/>
      <x:c r="F16" s="32"/>
      <x:c r="G16" s="32"/>
      <x:c r="H16" s="32"/>
      <x:c r="I16" s="32"/>
      <x:c r="J16" s="32"/>
      <x:c r="K16" s="32"/>
      <x:c r="L16" s="32"/>
      <x:c r="M16" s="32"/>
    </x:row>
    <x:row r="17" ht="24" customHeight="1">
      <x:c r="A17" s="2"/>
      <x:c r="B17" s="28" t="str">
        <x:v>B/C including climate</x:v>
      </x:c>
      <x:c r="C17" s="31" t="n">
        <x:f>SUM(J25:J85)/SUM(K25:K85)</x:f>
        <x:v>0.2565684930590863</x:v>
      </x:c>
      <x:c r="D17" s="2"/>
      <x:c r="E17" s="32"/>
      <x:c r="F17" s="32"/>
      <x:c r="G17" s="32"/>
      <x:c r="H17" s="32"/>
      <x:c r="I17" s="32"/>
      <x:c r="J17" s="32"/>
      <x:c r="K17" s="32"/>
      <x:c r="L17" s="32"/>
      <x:c r="M17" s="32"/>
    </x:row>
    <x:row r="18" ht="24" customHeight="1">
      <x:c r="A18" s="2"/>
      <x:c r="B18" s="19" t="str">
        <x:v>Total cost PV</x:v>
      </x:c>
      <x:c r="C18" s="21" t="n">
        <x:f>SUM(K25:K85)</x:f>
        <x:v>3314.245499771918</x:v>
      </x:c>
      <x:c r="D18" s="2"/>
      <x:c r="E18" s="32"/>
      <x:c r="F18" s="32"/>
      <x:c r="G18" s="32"/>
      <x:c r="H18" s="32"/>
      <x:c r="I18" s="32"/>
      <x:c r="J18" s="32"/>
      <x:c r="K18" s="32"/>
      <x:c r="L18" s="32"/>
      <x:c r="M18" s="32"/>
    </x:row>
    <x:row r="19" ht="24" customHeight="1">
      <x:c r="A19" s="2"/>
      <x:c r="B19" s="19" t="str">
        <x:v>Production savings PV</x:v>
      </x:c>
      <x:c r="C19" s="21" t="n">
        <x:f>SUMPRODUCT(C25:C85,E25:E85)</x:f>
        <x:v>523.945884557688</x:v>
      </x:c>
      <x:c r="D19" s="2"/>
      <x:c r="E19" s="32"/>
      <x:c r="F19" s="32"/>
      <x:c r="G19" s="32"/>
      <x:c r="H19" s="32"/>
      <x:c r="I19" s="32"/>
      <x:c r="J19" s="32"/>
      <x:c r="K19" s="32"/>
      <x:c r="L19" s="32"/>
      <x:c r="M19" s="32"/>
    </x:row>
    <x:row r="20" ht="24" customHeight="1">
      <x:c r="A20" s="2"/>
      <x:c r="B20" s="19" t="str">
        <x:v>Climate benefits PV</x:v>
      </x:c>
      <x:c r="C20" s="21" t="n">
        <x:f>SUMPRODUCT(C25:C85,F25:F85)</x:f>
        <x:v>326.38508894665114</x:v>
      </x:c>
      <x:c r="D20" s="2"/>
      <x:c r="E20" s="32"/>
      <x:c r="F20" s="32"/>
      <x:c r="G20" s="32"/>
      <x:c r="H20" s="32"/>
      <x:c r="I20" s="32"/>
      <x:c r="J20" s="32"/>
      <x:c r="K20" s="32"/>
      <x:c r="L20" s="32"/>
      <x:c r="M20" s="3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36" customHeight="1">
      <x:c r="A24" s="2"/>
      <x:c r="B24" s="33" t="str">
        <x:v>Year</x:v>
      </x:c>
      <x:c r="C24" s="33" t="str">
        <x:v>Discount factor</x:v>
      </x:c>
      <x:c r="D24" s="33" t="str">
        <x:v>Included</x:v>
      </x:c>
      <x:c r="E24" s="33" t="str">
        <x:v>Production</x:v>
      </x:c>
      <x:c r="F24" s="33" t="str">
        <x:v>Climate</x:v>
      </x:c>
      <x:c r="G24" s="33" t="str">
        <x:v>Capex</x:v>
      </x:c>
      <x:c r="H24" s="33" t="str">
        <x:v>O&amp;M</x:v>
      </x:c>
      <x:c r="I24" s="33" t="str">
        <x:v>Net harm</x:v>
      </x:c>
      <x:c r="J24" s="33" t="str">
        <x:v>Benefit PV</x:v>
      </x:c>
      <x:c r="K24" s="33" t="str">
        <x:v>Cost PV</x:v>
      </x:c>
      <x:c r="L24" s="33" t="str">
        <x:v>NPV no climate</x:v>
      </x:c>
      <x:c r="M24" s="33" t="str">
        <x:v>NPV with climate</x:v>
      </x:c>
    </x:row>
    <x:row r="25" ht="24" customHeight="1">
      <x:c r="A25" s="2"/>
      <x:c r="B25" s="34" t="n">
        <x:f>0</x:f>
        <x:v>0</x:v>
      </x:c>
      <x:c r="C25" s="36" t="n">
        <x:f>IF('Inputs'!$C$7="Constant",(1+'Inputs'!$C$8)^(-B25),(1+'Inputs'!$C$9)^(-MIN(B25,'Inputs'!$C$11))*(1+'Inputs'!$C$10)^(-MAX(B25-'Inputs'!$C$11,0)))</x:f>
        <x:v>1</x:v>
      </x:c>
      <x:c r="D25" s="34" t="n">
        <x:f>IF(B25&lt;=$C$5,1,0)</x:f>
        <x:v>1</x:v>
      </x:c>
      <x:c r="E25" s="19" t="n">
        <x:f>0</x:f>
        <x:v>0</x:v>
      </x:c>
      <x:c r="F25" s="19" t="n">
        <x:f>0</x:f>
        <x:v>0</x:v>
      </x:c>
      <x:c r="G25" s="19" t="n">
        <x:f>$C$6</x:f>
        <x:v>2901.8262499999996</x:v>
      </x:c>
      <x:c r="H25" s="19" t="n">
        <x:f>0</x:f>
        <x:v>0</x:v>
      </x:c>
      <x:c r="I25" s="19" t="n">
        <x:f>0</x:f>
        <x:v>0</x:v>
      </x:c>
      <x:c r="J25" s="19" t="n">
        <x:f>(E25+F25)*C25</x:f>
        <x:v>0</x:v>
      </x:c>
      <x:c r="K25" s="19" t="n">
        <x:f>(G25+H25+I25)*C25</x:f>
        <x:v>2901.8262499999996</x:v>
      </x:c>
      <x:c r="L25" s="19" t="n">
        <x:f>E25*C25-K25</x:f>
        <x:v>-2901.8262499999996</x:v>
      </x:c>
      <x:c r="M25" s="19" t="n">
        <x:f>J25-K25</x:f>
        <x:v>-2901.8262499999996</x:v>
      </x:c>
    </x:row>
    <x:row r="26" ht="24" customHeight="1">
      <x:c r="A26" s="2"/>
      <x:c r="B26" s="34" t="n">
        <x:f>B25+1</x:f>
        <x:v>1</x:v>
      </x:c>
      <x:c r="C26" s="36" t="n">
        <x:f>IF('Inputs'!$C$7="Constant",(1+'Inputs'!$C$8)^(-B26),(1+'Inputs'!$C$9)^(-MIN(B26,'Inputs'!$C$11))*(1+'Inputs'!$C$10)^(-MAX(B26-'Inputs'!$C$11,0)))</x:f>
        <x:v>0.9661835748792271</x:v>
      </x:c>
      <x:c r="D26" s="34" t="n">
        <x:f>IF(B26&lt;=$C$5,1,0)</x:f>
        <x:v>1</x:v>
      </x:c>
      <x:c r="E26" s="19" t="n">
        <x:f>$C$7*D26</x:f>
        <x:v>36.86539661351404</x:v>
      </x:c>
      <x:c r="F26" s="19" t="n">
        <x:f>$C$12*D26</x:f>
        <x:v>22.96480630421014</x:v>
      </x:c>
      <x:c r="G26" s="19" t="n">
        <x:f>0</x:f>
        <x:v>0</x:v>
      </x:c>
      <x:c r="H26" s="19" t="n">
        <x:f>$C$13*D26</x:f>
        <x:v>29.018262499999995</x:v>
      </x:c>
      <x:c r="I26" s="19" t="n">
        <x:f>$C$14*D26</x:f>
        <x:v>0</x:v>
      </x:c>
      <x:c r="J26" s="19" t="n">
        <x:f>(E26+F26)*C26</x:f>
        <x:v>57.80695934079631</x:v>
      </x:c>
      <x:c r="K26" s="19" t="n">
        <x:f>(G26+H26+I26)*C26</x:f>
        <x:v>28.036968599033813</x:v>
      </x:c>
      <x:c r="L26" s="19" t="n">
        <x:f>L25+E26*C26-K26</x:f>
        <x:v>-2894.244477909648</x:v>
      </x:c>
      <x:c r="M26" s="19" t="n">
        <x:f>M25+J26-K26</x:f>
        <x:v>-2872.0562592582373</x:v>
      </x:c>
    </x:row>
    <x:row r="27" ht="24" customHeight="1">
      <x:c r="A27" s="2"/>
      <x:c r="B27" s="34" t="n">
        <x:f>B26+1</x:f>
        <x:v>2</x:v>
      </x:c>
      <x:c r="C27" s="36" t="n">
        <x:f>IF('Inputs'!$C$7="Constant",(1+'Inputs'!$C$8)^(-B27),(1+'Inputs'!$C$9)^(-MIN(B27,'Inputs'!$C$11))*(1+'Inputs'!$C$10)^(-MAX(B27-'Inputs'!$C$11,0)))</x:f>
        <x:v>0.933510700366403</x:v>
      </x:c>
      <x:c r="D27" s="34" t="n">
        <x:f>IF(B27&lt;=$C$5,1,0)</x:f>
        <x:v>1</x:v>
      </x:c>
      <x:c r="E27" s="19" t="n">
        <x:f>$C$7*D27</x:f>
        <x:v>36.86539661351404</x:v>
      </x:c>
      <x:c r="F27" s="19" t="n">
        <x:f>$C$12*D27</x:f>
        <x:v>22.96480630421014</x:v>
      </x:c>
      <x:c r="G27" s="19" t="n">
        <x:f>0</x:f>
        <x:v>0</x:v>
      </x:c>
      <x:c r="H27" s="19" t="n">
        <x:f>$C$13*D27</x:f>
        <x:v>29.018262499999995</x:v>
      </x:c>
      <x:c r="I27" s="19" t="n">
        <x:f>$C$14*D27</x:f>
        <x:v>0</x:v>
      </x:c>
      <x:c r="J27" s="19" t="n">
        <x:f>(E27+F27)*C27</x:f>
        <x:v>55.85213462878871</x:v>
      </x:c>
      <x:c r="K27" s="19" t="n">
        <x:f>(G27+H27+I27)*C27</x:f>
        <x:v>27.088858549791127</x:v>
      </x:c>
      <x:c r="L27" s="19" t="n">
        <x:f>L26+E27*C27-K27</x:f>
        <x:v>-2886.9190942474725</x:v>
      </x:c>
      <x:c r="M27" s="19" t="n">
        <x:f>M26+J27-K27</x:f>
        <x:v>-2843.2929831792394</x:v>
      </x:c>
    </x:row>
    <x:row r="28" ht="24" customHeight="1">
      <x:c r="A28" s="2"/>
      <x:c r="B28" s="34" t="n">
        <x:f>B27+1</x:f>
        <x:v>3</x:v>
      </x:c>
      <x:c r="C28" s="36" t="n">
        <x:f>IF('Inputs'!$C$7="Constant",(1+'Inputs'!$C$8)^(-B28),(1+'Inputs'!$C$9)^(-MIN(B28,'Inputs'!$C$11))*(1+'Inputs'!$C$10)^(-MAX(B28-'Inputs'!$C$11,0)))</x:f>
        <x:v>0.9019427056680224</x:v>
      </x:c>
      <x:c r="D28" s="34" t="n">
        <x:f>IF(B28&lt;=$C$5,1,0)</x:f>
        <x:v>1</x:v>
      </x:c>
      <x:c r="E28" s="19" t="n">
        <x:f>$C$7*D28</x:f>
        <x:v>36.86539661351404</x:v>
      </x:c>
      <x:c r="F28" s="19" t="n">
        <x:f>$C$12*D28</x:f>
        <x:v>22.96480630421014</x:v>
      </x:c>
      <x:c r="G28" s="19" t="n">
        <x:f>0</x:f>
        <x:v>0</x:v>
      </x:c>
      <x:c r="H28" s="19" t="n">
        <x:f>$C$13*D28</x:f>
        <x:v>29.018262499999995</x:v>
      </x:c>
      <x:c r="I28" s="19" t="n">
        <x:f>$C$14*D28</x:f>
        <x:v>0</x:v>
      </x:c>
      <x:c r="J28" s="19" t="n">
        <x:f>(E28+F28)*C28</x:f>
        <x:v>53.96341510027895</x:v>
      </x:c>
      <x:c r="K28" s="19" t="n">
        <x:f>(G28+H28+I28)*C28</x:f>
        <x:v>26.172810193034906</x:v>
      </x:c>
      <x:c r="L28" s="19" t="n">
        <x:f>L27+E28*C28-K28</x:f>
        <x:v>-2879.8414288733898</x:v>
      </x:c>
      <x:c r="M28" s="19" t="n">
        <x:f>M27+J28-K28</x:f>
        <x:v>-2815.5023782719954</x:v>
      </x:c>
    </x:row>
    <x:row r="29" ht="24" customHeight="1">
      <x:c r="A29" s="2"/>
      <x:c r="B29" s="34" t="n">
        <x:f>B28+1</x:f>
        <x:v>4</x:v>
      </x:c>
      <x:c r="C29" s="36" t="n">
        <x:f>IF('Inputs'!$C$7="Constant",(1+'Inputs'!$C$8)^(-B29),(1+'Inputs'!$C$9)^(-MIN(B29,'Inputs'!$C$11))*(1+'Inputs'!$C$10)^(-MAX(B29-'Inputs'!$C$11,0)))</x:f>
        <x:v>0.8714422276985724</x:v>
      </x:c>
      <x:c r="D29" s="34" t="n">
        <x:f>IF(B29&lt;=$C$5,1,0)</x:f>
        <x:v>1</x:v>
      </x:c>
      <x:c r="E29" s="19" t="n">
        <x:f>$C$7*D29</x:f>
        <x:v>36.86539661351404</x:v>
      </x:c>
      <x:c r="F29" s="19" t="n">
        <x:f>$C$12*D29</x:f>
        <x:v>22.96480630421014</x:v>
      </x:c>
      <x:c r="G29" s="19" t="n">
        <x:f>0</x:f>
        <x:v>0</x:v>
      </x:c>
      <x:c r="H29" s="19" t="n">
        <x:f>$C$13*D29</x:f>
        <x:v>29.018262499999995</x:v>
      </x:c>
      <x:c r="I29" s="19" t="n">
        <x:f>$C$14*D29</x:f>
        <x:v>0</x:v>
      </x:c>
      <x:c r="J29" s="19" t="n">
        <x:f>(E29+F29)*C29</x:f>
        <x:v>52.138565314279184</x:v>
      </x:c>
      <x:c r="K29" s="19" t="n">
        <x:f>(G29+H29+I29)*C29</x:f>
        <x:v>25.28773931694194</x:v>
      </x:c>
      <x:c r="L29" s="19" t="n">
        <x:f>L28+E29*C29-K29</x:f>
        <x:v>-2873.00310484046</x:v>
      </x:c>
      <x:c r="M29" s="19" t="n">
        <x:f>M28+J29-K29</x:f>
        <x:v>-2788.651552274658</x:v>
      </x:c>
    </x:row>
    <x:row r="30" ht="24" customHeight="1">
      <x:c r="A30" s="2"/>
      <x:c r="B30" s="34" t="n">
        <x:f>B29+1</x:f>
        <x:v>5</x:v>
      </x:c>
      <x:c r="C30" s="36" t="n">
        <x:f>IF('Inputs'!$C$7="Constant",(1+'Inputs'!$C$8)^(-B30),(1+'Inputs'!$C$9)^(-MIN(B30,'Inputs'!$C$11))*(1+'Inputs'!$C$10)^(-MAX(B30-'Inputs'!$C$11,0)))</x:f>
        <x:v>0.8419731668585242</x:v>
      </x:c>
      <x:c r="D30" s="34" t="n">
        <x:f>IF(B30&lt;=$C$5,1,0)</x:f>
        <x:v>1</x:v>
      </x:c>
      <x:c r="E30" s="19" t="n">
        <x:f>$C$7*D30</x:f>
        <x:v>36.86539661351404</x:v>
      </x:c>
      <x:c r="F30" s="19" t="n">
        <x:f>$C$12*D30</x:f>
        <x:v>22.96480630421014</x:v>
      </x:c>
      <x:c r="G30" s="19" t="n">
        <x:f>0</x:f>
        <x:v>0</x:v>
      </x:c>
      <x:c r="H30" s="19" t="n">
        <x:f>$C$13*D30</x:f>
        <x:v>29.018262499999995</x:v>
      </x:c>
      <x:c r="I30" s="19" t="n">
        <x:f>$C$14*D30</x:f>
        <x:v>0</x:v>
      </x:c>
      <x:c r="J30" s="19" t="n">
        <x:f>(E30+F30)*C30</x:f>
        <x:v>50.37542542442434</x:v>
      </x:c>
      <x:c r="K30" s="19" t="n">
        <x:f>(G30+H30+I30)*C30</x:f>
        <x:v>24.43259837385695</x:v>
      </x:c>
      <x:c r="L30" s="19" t="n">
        <x:f>L29+E30*C30-K30</x:f>
        <x:v>-2866.3960284801406</x:v>
      </x:c>
      <x:c r="M30" s="19" t="n">
        <x:f>M29+J30-K30</x:f>
        <x:v>-2762.7087252240904</x:v>
      </x:c>
    </x:row>
    <x:row r="31" ht="24" customHeight="1">
      <x:c r="A31" s="2"/>
      <x:c r="B31" s="34" t="n">
        <x:f>B30+1</x:f>
        <x:v>6</x:v>
      </x:c>
      <x:c r="C31" s="36" t="n">
        <x:f>IF('Inputs'!$C$7="Constant",(1+'Inputs'!$C$8)^(-B31),(1+'Inputs'!$C$9)^(-MIN(B31,'Inputs'!$C$11))*(1+'Inputs'!$C$10)^(-MAX(B31-'Inputs'!$C$11,0)))</x:f>
        <x:v>0.8135006443077528</x:v>
      </x:c>
      <x:c r="D31" s="34" t="n">
        <x:f>IF(B31&lt;=$C$5,1,0)</x:f>
        <x:v>1</x:v>
      </x:c>
      <x:c r="E31" s="19" t="n">
        <x:f>$C$7*D31</x:f>
        <x:v>36.86539661351404</x:v>
      </x:c>
      <x:c r="F31" s="19" t="n">
        <x:f>$C$12*D31</x:f>
        <x:v>22.96480630421014</x:v>
      </x:c>
      <x:c r="G31" s="19" t="n">
        <x:f>0</x:f>
        <x:v>0</x:v>
      </x:c>
      <x:c r="H31" s="19" t="n">
        <x:f>$C$13*D31</x:f>
        <x:v>29.018262499999995</x:v>
      </x:c>
      <x:c r="I31" s="19" t="n">
        <x:f>$C$14*D31</x:f>
        <x:v>0</x:v>
      </x:c>
      <x:c r="J31" s="19" t="n">
        <x:f>(E31+F31)*C31</x:f>
        <x:v>48.67190862263221</x:v>
      </x:c>
      <x:c r="K31" s="19" t="n">
        <x:f>(G31+H31+I31)*C31</x:f>
        <x:v>23.606375240441498</x:v>
      </x:c>
      <x:c r="L31" s="19" t="n">
        <x:f>L30+E31*C31-K31</x:f>
        <x:v>-2860.012379822828</x:v>
      </x:c>
      <x:c r="M31" s="19" t="n">
        <x:f>M30+J31-K31</x:f>
        <x:v>-2737.6431918419</x:v>
      </x:c>
    </x:row>
    <x:row r="32" ht="24" customHeight="1">
      <x:c r="A32" s="2"/>
      <x:c r="B32" s="34" t="n">
        <x:f>B31+1</x:f>
        <x:v>7</x:v>
      </x:c>
      <x:c r="C32" s="36" t="n">
        <x:f>IF('Inputs'!$C$7="Constant",(1+'Inputs'!$C$8)^(-B32),(1+'Inputs'!$C$9)^(-MIN(B32,'Inputs'!$C$11))*(1+'Inputs'!$C$10)^(-MAX(B32-'Inputs'!$C$11,0)))</x:f>
        <x:v>0.7859909606838192</x:v>
      </x:c>
      <x:c r="D32" s="34" t="n">
        <x:f>IF(B32&lt;=$C$5,1,0)</x:f>
        <x:v>1</x:v>
      </x:c>
      <x:c r="E32" s="19" t="n">
        <x:f>$C$7*D32</x:f>
        <x:v>36.86539661351404</x:v>
      </x:c>
      <x:c r="F32" s="19" t="n">
        <x:f>$C$12*D32</x:f>
        <x:v>22.96480630421014</x:v>
      </x:c>
      <x:c r="G32" s="19" t="n">
        <x:f>0</x:f>
        <x:v>0</x:v>
      </x:c>
      <x:c r="H32" s="19" t="n">
        <x:f>$C$13*D32</x:f>
        <x:v>29.018262499999995</x:v>
      </x:c>
      <x:c r="I32" s="19" t="n">
        <x:f>$C$14*D32</x:f>
        <x:v>0</x:v>
      </x:c>
      <x:c r="J32" s="19" t="n">
        <x:f>(E32+F32)*C32</x:f>
        <x:v>47.02599866920987</x:v>
      </x:c>
      <x:c r="K32" s="19" t="n">
        <x:f>(G32+H32+I32)*C32</x:f>
        <x:v>22.80809201975024</x:v>
      </x:c>
      <x:c r="L32" s="19" t="n">
        <x:f>L31+E32*C32-K32</x:f>
        <x:v>-2853.8446033423324</x:v>
      </x:c>
      <x:c r="M32" s="19" t="n">
        <x:f>M31+J32-K32</x:f>
        <x:v>-2713.4252851924402</x:v>
      </x:c>
    </x:row>
    <x:row r="33" ht="24" customHeight="1">
      <x:c r="A33" s="2"/>
      <x:c r="B33" s="34" t="n">
        <x:f>B32+1</x:f>
        <x:v>8</x:v>
      </x:c>
      <x:c r="C33" s="36" t="n">
        <x:f>IF('Inputs'!$C$7="Constant",(1+'Inputs'!$C$8)^(-B33),(1+'Inputs'!$C$9)^(-MIN(B33,'Inputs'!$C$11))*(1+'Inputs'!$C$10)^(-MAX(B33-'Inputs'!$C$11,0)))</x:f>
        <x:v>0.7594115562162506</x:v>
      </x:c>
      <x:c r="D33" s="34" t="n">
        <x:f>IF(B33&lt;=$C$5,1,0)</x:f>
        <x:v>1</x:v>
      </x:c>
      <x:c r="E33" s="19" t="n">
        <x:f>$C$7*D33</x:f>
        <x:v>36.86539661351404</x:v>
      </x:c>
      <x:c r="F33" s="19" t="n">
        <x:f>$C$12*D33</x:f>
        <x:v>22.96480630421014</x:v>
      </x:c>
      <x:c r="G33" s="19" t="n">
        <x:f>0</x:f>
        <x:v>0</x:v>
      </x:c>
      <x:c r="H33" s="19" t="n">
        <x:f>$C$13*D33</x:f>
        <x:v>29.018262499999995</x:v>
      </x:c>
      <x:c r="I33" s="19" t="n">
        <x:f>$C$14*D33</x:f>
        <x:v>0</x:v>
      </x:c>
      <x:c r="J33" s="19" t="n">
        <x:f>(E33+F33)*C33</x:f>
        <x:v>45.435747506482976</x:v>
      </x:c>
      <x:c r="K33" s="19" t="n">
        <x:f>(G33+H33+I33)*C33</x:f>
        <x:v>22.036803883816663</x:v>
      </x:c>
      <x:c r="L33" s="19" t="n">
        <x:f>L32+E33*C33-K33</x:f>
        <x:v>-2847.8853990133507</x:v>
      </x:c>
      <x:c r="M33" s="19" t="n">
        <x:f>M32+J33-K33</x:f>
        <x:v>-2690.0263415697736</x:v>
      </x:c>
    </x:row>
    <x:row r="34" ht="24" customHeight="1">
      <x:c r="A34" s="2"/>
      <x:c r="B34" s="34" t="n">
        <x:f>B33+1</x:f>
        <x:v>9</x:v>
      </x:c>
      <x:c r="C34" s="36" t="n">
        <x:f>IF('Inputs'!$C$7="Constant",(1+'Inputs'!$C$8)^(-B34),(1+'Inputs'!$C$9)^(-MIN(B34,'Inputs'!$C$11))*(1+'Inputs'!$C$10)^(-MAX(B34-'Inputs'!$C$11,0)))</x:f>
        <x:v>0.7337309721896141</x:v>
      </x:c>
      <x:c r="D34" s="34" t="n">
        <x:f>IF(B34&lt;=$C$5,1,0)</x:f>
        <x:v>1</x:v>
      </x:c>
      <x:c r="E34" s="19" t="n">
        <x:f>$C$7*D34</x:f>
        <x:v>36.86539661351404</x:v>
      </x:c>
      <x:c r="F34" s="19" t="n">
        <x:f>$C$12*D34</x:f>
        <x:v>22.96480630421014</x:v>
      </x:c>
      <x:c r="G34" s="19" t="n">
        <x:f>0</x:f>
        <x:v>0</x:v>
      </x:c>
      <x:c r="H34" s="19" t="n">
        <x:f>$C$13*D34</x:f>
        <x:v>29.018262499999995</x:v>
      </x:c>
      <x:c r="I34" s="19" t="n">
        <x:f>$C$14*D34</x:f>
        <x:v>0</x:v>
      </x:c>
      <x:c r="J34" s="19" t="n">
        <x:f>(E34+F34)*C34</x:f>
        <x:v>43.89927295312365</x:v>
      </x:c>
      <x:c r="K34" s="19" t="n">
        <x:f>(G34+H34+I34)*C34</x:f>
        <x:v>21.291597955378418</x:v>
      </x:c>
      <x:c r="L34" s="19" t="n">
        <x:f>L33+E34*C34-K34</x:f>
        <x:v>-2842.12771367134</x:v>
      </x:c>
      <x:c r="M34" s="19" t="n">
        <x:f>M33+J34-K34</x:f>
        <x:v>-2667.4186665720285</x:v>
      </x:c>
    </x:row>
    <x:row r="35" ht="24" customHeight="1">
      <x:c r="A35" s="2"/>
      <x:c r="B35" s="34" t="n">
        <x:f>B34+1</x:f>
        <x:v>10</x:v>
      </x:c>
      <x:c r="C35" s="36" t="n">
        <x:f>IF('Inputs'!$C$7="Constant",(1+'Inputs'!$C$8)^(-B35),(1+'Inputs'!$C$9)^(-MIN(B35,'Inputs'!$C$11))*(1+'Inputs'!$C$10)^(-MAX(B35-'Inputs'!$C$11,0)))</x:f>
        <x:v>0.7089188137097722</x:v>
      </x:c>
      <x:c r="D35" s="34" t="n">
        <x:f>IF(B35&lt;=$C$5,1,0)</x:f>
        <x:v>1</x:v>
      </x:c>
      <x:c r="E35" s="19" t="n">
        <x:f>$C$7*D35</x:f>
        <x:v>36.86539661351404</x:v>
      </x:c>
      <x:c r="F35" s="19" t="n">
        <x:f>$C$12*D35</x:f>
        <x:v>22.96480630421014</x:v>
      </x:c>
      <x:c r="G35" s="19" t="n">
        <x:f>0</x:f>
        <x:v>0</x:v>
      </x:c>
      <x:c r="H35" s="19" t="n">
        <x:f>$C$13*D35</x:f>
        <x:v>29.018262499999995</x:v>
      </x:c>
      <x:c r="I35" s="19" t="n">
        <x:f>$C$14*D35</x:f>
        <x:v>0</x:v>
      </x:c>
      <x:c r="J35" s="19" t="n">
        <x:f>(E35+F35)*C35</x:f>
        <x:v>42.41475647644798</x:v>
      </x:c>
      <x:c r="K35" s="19" t="n">
        <x:f>(G35+H35+I35)*C35</x:f>
        <x:v>20.571592227418765</x:v>
      </x:c>
      <x:c r="L35" s="19" t="n">
        <x:f>L34+E35*C35-K35</x:f>
        <x:v>-2836.5647326645667</x:v>
      </x:c>
      <x:c r="M35" s="19" t="n">
        <x:f>M34+J35-K35</x:f>
        <x:v>-2645.5755023229995</x:v>
      </x:c>
    </x:row>
    <x:row r="36" ht="24" customHeight="1">
      <x:c r="A36" s="2"/>
      <x:c r="B36" s="34" t="n">
        <x:f>B35+1</x:f>
        <x:v>11</x:v>
      </x:c>
      <x:c r="C36" s="36" t="n">
        <x:f>IF('Inputs'!$C$7="Constant",(1+'Inputs'!$C$8)^(-B36),(1+'Inputs'!$C$9)^(-MIN(B36,'Inputs'!$C$11))*(1+'Inputs'!$C$10)^(-MAX(B36-'Inputs'!$C$11,0)))</x:f>
        <x:v>0.6849457137292485</x:v>
      </x:c>
      <x:c r="D36" s="34" t="n">
        <x:f>IF(B36&lt;=$C$5,1,0)</x:f>
        <x:v>1</x:v>
      </x:c>
      <x:c r="E36" s="19" t="n">
        <x:f>$C$7*D36</x:f>
        <x:v>36.86539661351404</x:v>
      </x:c>
      <x:c r="F36" s="19" t="n">
        <x:f>$C$12*D36</x:f>
        <x:v>22.96480630421014</x:v>
      </x:c>
      <x:c r="G36" s="19" t="n">
        <x:f>0</x:f>
        <x:v>0</x:v>
      </x:c>
      <x:c r="H36" s="19" t="n">
        <x:f>$C$13*D36</x:f>
        <x:v>29.018262499999995</x:v>
      </x:c>
      <x:c r="I36" s="19" t="n">
        <x:f>$C$14*D36</x:f>
        <x:v>0</x:v>
      </x:c>
      <x:c r="J36" s="19" t="n">
        <x:f>(E36+F36)*C36</x:f>
        <x:v>40.98044104004635</x:v>
      </x:c>
      <x:c r="K36" s="19" t="n">
        <x:f>(G36+H36+I36)*C36</x:f>
        <x:v>19.875934519245185</x:v>
      </x:c>
      <x:c r="L36" s="19" t="n">
        <x:f>L35+E36*C36-K36</x:f>
        <x:v>-2831.189871788457</x:v>
      </x:c>
      <x:c r="M36" s="19" t="n">
        <x:f>M35+J36-K36</x:f>
        <x:v>-2624.470995802198</x:v>
      </x:c>
    </x:row>
    <x:row r="37" ht="24" customHeight="1">
      <x:c r="A37" s="2"/>
      <x:c r="B37" s="34" t="n">
        <x:f>B36+1</x:f>
        <x:v>12</x:v>
      </x:c>
      <x:c r="C37" s="36" t="n">
        <x:f>IF('Inputs'!$C$7="Constant",(1+'Inputs'!$C$8)^(-B37),(1+'Inputs'!$C$9)^(-MIN(B37,'Inputs'!$C$11))*(1+'Inputs'!$C$10)^(-MAX(B37-'Inputs'!$C$11,0)))</x:f>
        <x:v>0.6617832982891291</x:v>
      </x:c>
      <x:c r="D37" s="34" t="n">
        <x:f>IF(B37&lt;=$C$5,1,0)</x:f>
        <x:v>1</x:v>
      </x:c>
      <x:c r="E37" s="19" t="n">
        <x:f>$C$7*D37</x:f>
        <x:v>36.86539661351404</x:v>
      </x:c>
      <x:c r="F37" s="19" t="n">
        <x:f>$C$12*D37</x:f>
        <x:v>22.96480630421014</x:v>
      </x:c>
      <x:c r="G37" s="19" t="n">
        <x:f>0</x:f>
        <x:v>0</x:v>
      </x:c>
      <x:c r="H37" s="19" t="n">
        <x:f>$C$13*D37</x:f>
        <x:v>29.018262499999995</x:v>
      </x:c>
      <x:c r="I37" s="19" t="n">
        <x:f>$C$14*D37</x:f>
        <x:v>0</x:v>
      </x:c>
      <x:c r="J37" s="19" t="n">
        <x:f>(E37+F37)*C37</x:f>
        <x:v>39.59462902419938</x:v>
      </x:c>
      <x:c r="K37" s="19" t="n">
        <x:f>(G37+H37+I37)*C37</x:f>
        <x:v>19.203801467869745</x:v>
      </x:c>
      <x:c r="L37" s="19" t="n">
        <x:f>L36+E37*C37-K37</x:f>
        <x:v>-2825.996769492698</x:v>
      </x:c>
      <x:c r="M37" s="19" t="n">
        <x:f>M36+J37-K37</x:f>
        <x:v>-2604.080168245868</x:v>
      </x:c>
    </x:row>
    <x:row r="38" ht="24" customHeight="1">
      <x:c r="A38" s="2"/>
      <x:c r="B38" s="34" t="n">
        <x:f>B37+1</x:f>
        <x:v>13</x:v>
      </x:c>
      <x:c r="C38" s="36" t="n">
        <x:f>IF('Inputs'!$C$7="Constant",(1+'Inputs'!$C$8)^(-B38),(1+'Inputs'!$C$9)^(-MIN(B38,'Inputs'!$C$11))*(1+'Inputs'!$C$10)^(-MAX(B38-'Inputs'!$C$11,0)))</x:f>
        <x:v>0.6394041529363566</x:v>
      </x:c>
      <x:c r="D38" s="34" t="n">
        <x:f>IF(B38&lt;=$C$5,1,0)</x:f>
        <x:v>1</x:v>
      </x:c>
      <x:c r="E38" s="19" t="n">
        <x:f>$C$7*D38</x:f>
        <x:v>36.86539661351404</x:v>
      </x:c>
      <x:c r="F38" s="19" t="n">
        <x:f>$C$12*D38</x:f>
        <x:v>22.96480630421014</x:v>
      </x:c>
      <x:c r="G38" s="19" t="n">
        <x:f>0</x:f>
        <x:v>0</x:v>
      </x:c>
      <x:c r="H38" s="19" t="n">
        <x:f>$C$13*D38</x:f>
        <x:v>29.018262499999995</x:v>
      </x:c>
      <x:c r="I38" s="19" t="n">
        <x:f>$C$14*D38</x:f>
        <x:v>0</x:v>
      </x:c>
      <x:c r="J38" s="19" t="n">
        <x:f>(E38+F38)*C38</x:f>
        <x:v>38.255680216617755</x:v>
      </x:c>
      <x:c r="K38" s="19" t="n">
        <x:f>(G38+H38+I38)*C38</x:f>
        <x:v>18.55439755349734</x:v>
      </x:c>
      <x:c r="L38" s="19" t="n">
        <x:f>L37+E38*C38-K38</x:f>
        <x:v>-2820.9792793518686</x:v>
      </x:c>
      <x:c r="M38" s="19" t="n">
        <x:f>M37+J38-K38</x:f>
        <x:v>-2584.378885582748</x:v>
      </x:c>
    </x:row>
    <x:row r="39" ht="24" customHeight="1">
      <x:c r="A39" s="2"/>
      <x:c r="B39" s="34" t="n">
        <x:f>B38+1</x:f>
        <x:v>14</x:v>
      </x:c>
      <x:c r="C39" s="36" t="n">
        <x:f>IF('Inputs'!$C$7="Constant",(1+'Inputs'!$C$8)^(-B39),(1+'Inputs'!$C$9)^(-MIN(B39,'Inputs'!$C$11))*(1+'Inputs'!$C$10)^(-MAX(B39-'Inputs'!$C$11,0)))</x:f>
        <x:v>0.6177817902766731</x:v>
      </x:c>
      <x:c r="D39" s="34" t="n">
        <x:f>IF(B39&lt;=$C$5,1,0)</x:f>
        <x:v>1</x:v>
      </x:c>
      <x:c r="E39" s="19" t="n">
        <x:f>$C$7*D39</x:f>
        <x:v>36.86539661351404</x:v>
      </x:c>
      <x:c r="F39" s="19" t="n">
        <x:f>$C$12*D39</x:f>
        <x:v>22.96480630421014</x:v>
      </x:c>
      <x:c r="G39" s="19" t="n">
        <x:f>0</x:f>
        <x:v>0</x:v>
      </x:c>
      <x:c r="H39" s="19" t="n">
        <x:f>$C$13*D39</x:f>
        <x:v>29.018262499999995</x:v>
      </x:c>
      <x:c r="I39" s="19" t="n">
        <x:f>$C$14*D39</x:f>
        <x:v>0</x:v>
      </x:c>
      <x:c r="J39" s="19" t="n">
        <x:f>(E39+F39)*C39</x:f>
        <x:v>36.962009871128274</x:v>
      </x:c>
      <x:c r="K39" s="19" t="n">
        <x:f>(G39+H39+I39)*C39</x:f>
        <x:v>17.926954157968446</x:v>
      </x:c>
      <x:c r="L39" s="19" t="n">
        <x:f>L38+E39*C39-K39</x:f>
        <x:v>-2816.131462790681</x:v>
      </x:c>
      <x:c r="M39" s="19" t="n">
        <x:f>M38+J39-K39</x:f>
        <x:v>-2565.343829869588</x:v>
      </x:c>
    </x:row>
    <x:row r="40" ht="24" customHeight="1">
      <x:c r="A40" s="2"/>
      <x:c r="B40" s="34" t="n">
        <x:f>B39+1</x:f>
        <x:v>15</x:v>
      </x:c>
      <x:c r="C40" s="36" t="n">
        <x:f>IF('Inputs'!$C$7="Constant",(1+'Inputs'!$C$8)^(-B40),(1+'Inputs'!$C$9)^(-MIN(B40,'Inputs'!$C$11))*(1+'Inputs'!$C$10)^(-MAX(B40-'Inputs'!$C$11,0)))</x:f>
        <x:v>0.596890618624805</x:v>
      </x:c>
      <x:c r="D40" s="34" t="n">
        <x:f>IF(B40&lt;=$C$5,1,0)</x:f>
        <x:v>1</x:v>
      </x:c>
      <x:c r="E40" s="19" t="n">
        <x:f>$C$7*D40</x:f>
        <x:v>36.86539661351404</x:v>
      </x:c>
      <x:c r="F40" s="19" t="n">
        <x:f>$C$12*D40</x:f>
        <x:v>22.96480630421014</x:v>
      </x:c>
      <x:c r="G40" s="19" t="n">
        <x:f>0</x:f>
        <x:v>0</x:v>
      </x:c>
      <x:c r="H40" s="19" t="n">
        <x:f>$C$13*D40</x:f>
        <x:v>29.018262499999995</x:v>
      </x:c>
      <x:c r="I40" s="19" t="n">
        <x:f>$C$14*D40</x:f>
        <x:v>0</x:v>
      </x:c>
      <x:c r="J40" s="19" t="n">
        <x:f>(E40+F40)*C40</x:f>
        <x:v>35.712086832008</x:v>
      </x:c>
      <x:c r="K40" s="19" t="n">
        <x:f>(G40+H40+I40)*C40</x:f>
        <x:v>17.320728655041975</x:v>
      </x:c>
      <x:c r="L40" s="19" t="n">
        <x:f>L39+E40*C40-K40</x:f>
        <x:v>-2811.4475820552334</x:v>
      </x:c>
      <x:c r="M40" s="19" t="n">
        <x:f>M39+J40-K40</x:f>
        <x:v>-2546.9524716926217</x:v>
      </x:c>
    </x:row>
    <x:row r="41" ht="24" customHeight="1">
      <x:c r="A41" s="2"/>
      <x:c r="B41" s="34" t="n">
        <x:f>B40+1</x:f>
        <x:v>16</x:v>
      </x:c>
      <x:c r="C41" s="36" t="n">
        <x:f>IF('Inputs'!$C$7="Constant",(1+'Inputs'!$C$8)^(-B41),(1+'Inputs'!$C$9)^(-MIN(B41,'Inputs'!$C$11))*(1+'Inputs'!$C$10)^(-MAX(B41-'Inputs'!$C$11,0)))</x:f>
        <x:v>0.5767059117147875</x:v>
      </x:c>
      <x:c r="D41" s="34" t="n">
        <x:f>IF(B41&lt;=$C$5,1,0)</x:f>
        <x:v>1</x:v>
      </x:c>
      <x:c r="E41" s="19" t="n">
        <x:f>$C$7*D41</x:f>
        <x:v>36.86539661351404</x:v>
      </x:c>
      <x:c r="F41" s="19" t="n">
        <x:f>$C$12*D41</x:f>
        <x:v>22.96480630421014</x:v>
      </x:c>
      <x:c r="G41" s="19" t="n">
        <x:f>0</x:f>
        <x:v>0</x:v>
      </x:c>
      <x:c r="H41" s="19" t="n">
        <x:f>$C$13*D41</x:f>
        <x:v>29.018262499999995</x:v>
      </x:c>
      <x:c r="I41" s="19" t="n">
        <x:f>$C$14*D41</x:f>
        <x:v>0</x:v>
      </x:c>
      <x:c r="J41" s="19" t="n">
        <x:f>(E41+F41)*C41</x:f>
        <x:v>34.50443172174686</x:v>
      </x:c>
      <x:c r="K41" s="19" t="n">
        <x:f>(G41+H41+I41)*C41</x:f>
        <x:v>16.735003531441524</x:v>
      </x:c>
      <x:c r="L41" s="19" t="n">
        <x:f>L40+E41*C41-K41</x:f>
        <x:v>-2806.922093421951</x:v>
      </x:c>
      <x:c r="M41" s="19" t="n">
        <x:f>M40+J41-K41</x:f>
        <x:v>-2529.1830435023167</x:v>
      </x:c>
    </x:row>
    <x:row r="42" ht="24" customHeight="1">
      <x:c r="A42" s="2"/>
      <x:c r="B42" s="34" t="n">
        <x:f>B41+1</x:f>
        <x:v>17</x:v>
      </x:c>
      <x:c r="C42" s="36" t="n">
        <x:f>IF('Inputs'!$C$7="Constant",(1+'Inputs'!$C$8)^(-B42),(1+'Inputs'!$C$9)^(-MIN(B42,'Inputs'!$C$11))*(1+'Inputs'!$C$10)^(-MAX(B42-'Inputs'!$C$11,0)))</x:f>
        <x:v>0.5572037794345773</x:v>
      </x:c>
      <x:c r="D42" s="34" t="n">
        <x:f>IF(B42&lt;=$C$5,1,0)</x:f>
        <x:v>1</x:v>
      </x:c>
      <x:c r="E42" s="19" t="n">
        <x:f>$C$7*D42</x:f>
        <x:v>36.86539661351404</x:v>
      </x:c>
      <x:c r="F42" s="19" t="n">
        <x:f>$C$12*D42</x:f>
        <x:v>22.96480630421014</x:v>
      </x:c>
      <x:c r="G42" s="19" t="n">
        <x:f>0</x:f>
        <x:v>0</x:v>
      </x:c>
      <x:c r="H42" s="19" t="n">
        <x:f>$C$13*D42</x:f>
        <x:v>29.018262499999995</x:v>
      </x:c>
      <x:c r="I42" s="19" t="n">
        <x:f>$C$14*D42</x:f>
        <x:v>0</x:v>
      </x:c>
      <x:c r="J42" s="19" t="n">
        <x:f>(E42+F42)*C42</x:f>
        <x:v>33.33761519009359</x:v>
      </x:c>
      <x:c r="K42" s="19" t="n">
        <x:f>(G42+H42+I42)*C42</x:f>
        <x:v>16.169085537624664</x:v>
      </x:c>
      <x:c r="L42" s="19" t="n">
        <x:f>L41+E42*C42-K42</x:f>
        <x:v>-2802.549640636171</x:v>
      </x:c>
      <x:c r="M42" s="19" t="n">
        <x:f>M41+J42-K42</x:f>
        <x:v>-2512.014513849848</x:v>
      </x:c>
    </x:row>
    <x:row r="43" ht="24" customHeight="1">
      <x:c r="A43" s="2"/>
      <x:c r="B43" s="34" t="n">
        <x:f>B42+1</x:f>
        <x:v>18</x:v>
      </x:c>
      <x:c r="C43" s="36" t="n">
        <x:f>IF('Inputs'!$C$7="Constant",(1+'Inputs'!$C$8)^(-B43),(1+'Inputs'!$C$9)^(-MIN(B43,'Inputs'!$C$11))*(1+'Inputs'!$C$10)^(-MAX(B43-'Inputs'!$C$11,0)))</x:f>
        <x:v>0.5383611395503163</x:v>
      </x:c>
      <x:c r="D43" s="34" t="n">
        <x:f>IF(B43&lt;=$C$5,1,0)</x:f>
        <x:v>1</x:v>
      </x:c>
      <x:c r="E43" s="19" t="n">
        <x:f>$C$7*D43</x:f>
        <x:v>36.86539661351404</x:v>
      </x:c>
      <x:c r="F43" s="19" t="n">
        <x:f>$C$12*D43</x:f>
        <x:v>22.96480630421014</x:v>
      </x:c>
      <x:c r="G43" s="19" t="n">
        <x:f>0</x:f>
        <x:v>0</x:v>
      </x:c>
      <x:c r="H43" s="19" t="n">
        <x:f>$C$13*D43</x:f>
        <x:v>29.018262499999995</x:v>
      </x:c>
      <x:c r="I43" s="19" t="n">
        <x:f>$C$14*D43</x:f>
        <x:v>0</x:v>
      </x:c>
      <x:c r="J43" s="19" t="n">
        <x:f>(E43+F43)*C43</x:f>
        <x:v>32.210256222312644</x:v>
      </x:c>
      <x:c r="K43" s="19" t="n">
        <x:f>(G43+H43+I43)*C43</x:f>
        <x:v>15.622304867270207</x:v>
      </x:c>
      <x:c r="L43" s="19" t="n">
        <x:f>L42+E43*C43-K43</x:f>
        <x:v>-2798.325048572615</x:v>
      </x:c>
      <x:c r="M43" s="19" t="n">
        <x:f>M42+J43-K43</x:f>
        <x:v>-2495.4265624948052</x:v>
      </x:c>
    </x:row>
    <x:row r="44" ht="24" customHeight="1">
      <x:c r="A44" s="2"/>
      <x:c r="B44" s="34" t="n">
        <x:f>B43+1</x:f>
        <x:v>19</x:v>
      </x:c>
      <x:c r="C44" s="36" t="n">
        <x:f>IF('Inputs'!$C$7="Constant",(1+'Inputs'!$C$8)^(-B44),(1+'Inputs'!$C$9)^(-MIN(B44,'Inputs'!$C$11))*(1+'Inputs'!$C$10)^(-MAX(B44-'Inputs'!$C$11,0)))</x:f>
        <x:v>0.520155690386779</x:v>
      </x:c>
      <x:c r="D44" s="34" t="n">
        <x:f>IF(B44&lt;=$C$5,1,0)</x:f>
        <x:v>1</x:v>
      </x:c>
      <x:c r="E44" s="19" t="n">
        <x:f>$C$7*D44</x:f>
        <x:v>36.86539661351404</x:v>
      </x:c>
      <x:c r="F44" s="19" t="n">
        <x:f>$C$12*D44</x:f>
        <x:v>22.96480630421014</x:v>
      </x:c>
      <x:c r="G44" s="19" t="n">
        <x:f>0</x:f>
        <x:v>0</x:v>
      </x:c>
      <x:c r="H44" s="19" t="n">
        <x:f>$C$13*D44</x:f>
        <x:v>29.018262499999995</x:v>
      </x:c>
      <x:c r="I44" s="19" t="n">
        <x:f>$C$14*D44</x:f>
        <x:v>0</x:v>
      </x:c>
      <x:c r="J44" s="19" t="n">
        <x:f>(E44+F44)*C44</x:f>
        <x:v>31.1210205046499</x:v>
      </x:c>
      <x:c r="K44" s="19" t="n">
        <x:f>(G44+H44+I44)*C44</x:f>
        <x:v>15.094014364512278</x:v>
      </x:c>
      <x:c r="L44" s="19" t="n">
        <x:f>L43+E44*C44-K44</x:f>
        <x:v>-2794.243317110242</x:v>
      </x:c>
      <x:c r="M44" s="19" t="n">
        <x:f>M43+J44-K44</x:f>
        <x:v>-2479.3995563546673</x:v>
      </x:c>
    </x:row>
    <x:row r="45" ht="24" customHeight="1">
      <x:c r="A45" s="2"/>
      <x:c r="B45" s="34" t="n">
        <x:f>B44+1</x:f>
        <x:v>20</x:v>
      </x:c>
      <x:c r="C45" s="36" t="n">
        <x:f>IF('Inputs'!$C$7="Constant",(1+'Inputs'!$C$8)^(-B45),(1+'Inputs'!$C$9)^(-MIN(B45,'Inputs'!$C$11))*(1+'Inputs'!$C$10)^(-MAX(B45-'Inputs'!$C$11,0)))</x:f>
        <x:v>0.5025658844316706</x:v>
      </x:c>
      <x:c r="D45" s="34" t="n">
        <x:f>IF(B45&lt;=$C$5,1,0)</x:f>
        <x:v>1</x:v>
      </x:c>
      <x:c r="E45" s="19" t="n">
        <x:f>$C$7*D45</x:f>
        <x:v>36.86539661351404</x:v>
      </x:c>
      <x:c r="F45" s="19" t="n">
        <x:f>$C$12*D45</x:f>
        <x:v>22.96480630421014</x:v>
      </x:c>
      <x:c r="G45" s="19" t="n">
        <x:f>0</x:f>
        <x:v>0</x:v>
      </x:c>
      <x:c r="H45" s="19" t="n">
        <x:f>$C$13*D45</x:f>
        <x:v>29.018262499999995</x:v>
      </x:c>
      <x:c r="I45" s="19" t="n">
        <x:f>$C$14*D45</x:f>
        <x:v>0</x:v>
      </x:c>
      <x:c r="J45" s="19" t="n">
        <x:f>(E45+F45)*C45</x:f>
        <x:v>30.068618845072372</x:v>
      </x:c>
      <x:c r="K45" s="19" t="n">
        <x:f>(G45+H45+I45)*C45</x:f>
        <x:v>14.583588757982879</x:v>
      </x:c>
      <x:c r="L45" s="19" t="n">
        <x:f>L44+E45*C45-K45</x:f>
        <x:v>-2790.29961521423</x:v>
      </x:c>
      <x:c r="M45" s="19" t="n">
        <x:f>M44+J45-K45</x:f>
        <x:v>-2463.914526267578</x:v>
      </x:c>
    </x:row>
    <x:row r="46" ht="24" customHeight="1">
      <x:c r="A46" s="2"/>
      <x:c r="B46" s="34" t="n">
        <x:f>B45+1</x:f>
        <x:v>21</x:v>
      </x:c>
      <x:c r="C46" s="36" t="n">
        <x:f>IF('Inputs'!$C$7="Constant",(1+'Inputs'!$C$8)^(-B46),(1+'Inputs'!$C$9)^(-MIN(B46,'Inputs'!$C$11))*(1+'Inputs'!$C$10)^(-MAX(B46-'Inputs'!$C$11,0)))</x:f>
        <x:v>0.485570902832532</x:v>
      </x:c>
      <x:c r="D46" s="34" t="n">
        <x:f>IF(B46&lt;=$C$5,1,0)</x:f>
        <x:v>0</x:v>
      </x:c>
      <x:c r="E46" s="19" t="n">
        <x:f>$C$7*D46</x:f>
        <x:v>0</x:v>
      </x:c>
      <x:c r="F46" s="19" t="n">
        <x:f>$C$12*D46</x:f>
        <x:v>0</x:v>
      </x:c>
      <x:c r="G46" s="19" t="n">
        <x:f>0</x:f>
        <x:v>0</x:v>
      </x:c>
      <x:c r="H46" s="19" t="n">
        <x:f>$C$13*D46</x:f>
        <x:v>0</x:v>
      </x:c>
      <x:c r="I46" s="19" t="n">
        <x:f>$C$14*D46</x:f>
        <x:v>0</x:v>
      </x:c>
      <x:c r="J46" s="19" t="n">
        <x:f>(E46+F46)*C46</x:f>
        <x:v>0</x:v>
      </x:c>
      <x:c r="K46" s="19" t="n">
        <x:f>(G46+H46+I46)*C46</x:f>
        <x:v>0</x:v>
      </x:c>
      <x:c r="L46" s="19" t="n">
        <x:f>L45+E46*C46-K46</x:f>
        <x:v>-2790.29961521423</x:v>
      </x:c>
      <x:c r="M46" s="19" t="n">
        <x:f>M45+J46-K46</x:f>
        <x:v>-2463.914526267578</x:v>
      </x:c>
    </x:row>
    <x:row r="47" ht="24" customHeight="1">
      <x:c r="A47" s="2"/>
      <x:c r="B47" s="34" t="n">
        <x:f>B46+1</x:f>
        <x:v>22</x:v>
      </x:c>
      <x:c r="C47" s="36" t="n">
        <x:f>IF('Inputs'!$C$7="Constant",(1+'Inputs'!$C$8)^(-B47),(1+'Inputs'!$C$9)^(-MIN(B47,'Inputs'!$C$11))*(1+'Inputs'!$C$10)^(-MAX(B47-'Inputs'!$C$11,0)))</x:f>
        <x:v>0.4691506307560696</x:v>
      </x:c>
      <x:c r="D47" s="34" t="n">
        <x:f>IF(B47&lt;=$C$5,1,0)</x:f>
        <x:v>0</x:v>
      </x:c>
      <x:c r="E47" s="19" t="n">
        <x:f>$C$7*D47</x:f>
        <x:v>0</x:v>
      </x:c>
      <x:c r="F47" s="19" t="n">
        <x:f>$C$12*D47</x:f>
        <x:v>0</x:v>
      </x:c>
      <x:c r="G47" s="19" t="n">
        <x:f>0</x:f>
        <x:v>0</x:v>
      </x:c>
      <x:c r="H47" s="19" t="n">
        <x:f>$C$13*D47</x:f>
        <x:v>0</x:v>
      </x:c>
      <x:c r="I47" s="19" t="n">
        <x:f>$C$14*D47</x:f>
        <x:v>0</x:v>
      </x:c>
      <x:c r="J47" s="19" t="n">
        <x:f>(E47+F47)*C47</x:f>
        <x:v>0</x:v>
      </x:c>
      <x:c r="K47" s="19" t="n">
        <x:f>(G47+H47+I47)*C47</x:f>
        <x:v>0</x:v>
      </x:c>
      <x:c r="L47" s="19" t="n">
        <x:f>L46+E47*C47-K47</x:f>
        <x:v>-2790.29961521423</x:v>
      </x:c>
      <x:c r="M47" s="19" t="n">
        <x:f>M46+J47-K47</x:f>
        <x:v>-2463.914526267578</x:v>
      </x:c>
    </x:row>
    <x:row r="48" ht="24" customHeight="1">
      <x:c r="A48" s="2"/>
      <x:c r="B48" s="34" t="n">
        <x:f>B47+1</x:f>
        <x:v>23</x:v>
      </x:c>
      <x:c r="C48" s="36" t="n">
        <x:f>IF('Inputs'!$C$7="Constant",(1+'Inputs'!$C$8)^(-B48),(1+'Inputs'!$C$9)^(-MIN(B48,'Inputs'!$C$11))*(1+'Inputs'!$C$10)^(-MAX(B48-'Inputs'!$C$11,0)))</x:f>
        <x:v>0.45328563358074364</x:v>
      </x:c>
      <x:c r="D48" s="34" t="n">
        <x:f>IF(B48&lt;=$C$5,1,0)</x:f>
        <x:v>0</x:v>
      </x:c>
      <x:c r="E48" s="19" t="n">
        <x:f>$C$7*D48</x:f>
        <x:v>0</x:v>
      </x:c>
      <x:c r="F48" s="19" t="n">
        <x:f>$C$12*D48</x:f>
        <x:v>0</x:v>
      </x:c>
      <x:c r="G48" s="19" t="n">
        <x:f>0</x:f>
        <x:v>0</x:v>
      </x:c>
      <x:c r="H48" s="19" t="n">
        <x:f>$C$13*D48</x:f>
        <x:v>0</x:v>
      </x:c>
      <x:c r="I48" s="19" t="n">
        <x:f>$C$14*D48</x:f>
        <x:v>0</x:v>
      </x:c>
      <x:c r="J48" s="19" t="n">
        <x:f>(E48+F48)*C48</x:f>
        <x:v>0</x:v>
      </x:c>
      <x:c r="K48" s="19" t="n">
        <x:f>(G48+H48+I48)*C48</x:f>
        <x:v>0</x:v>
      </x:c>
      <x:c r="L48" s="19" t="n">
        <x:f>L47+E48*C48-K48</x:f>
        <x:v>-2790.29961521423</x:v>
      </x:c>
      <x:c r="M48" s="19" t="n">
        <x:f>M47+J48-K48</x:f>
        <x:v>-2463.914526267578</x:v>
      </x:c>
    </x:row>
    <x:row r="49" ht="24" customHeight="1">
      <x:c r="A49" s="2"/>
      <x:c r="B49" s="34" t="n">
        <x:f>B48+1</x:f>
        <x:v>24</x:v>
      </x:c>
      <x:c r="C49" s="36" t="n">
        <x:f>IF('Inputs'!$C$7="Constant",(1+'Inputs'!$C$8)^(-B49),(1+'Inputs'!$C$9)^(-MIN(B49,'Inputs'!$C$11))*(1+'Inputs'!$C$10)^(-MAX(B49-'Inputs'!$C$11,0)))</x:f>
        <x:v>0.43795713389443836</x:v>
      </x:c>
      <x:c r="D49" s="34" t="n">
        <x:f>IF(B49&lt;=$C$5,1,0)</x:f>
        <x:v>0</x:v>
      </x:c>
      <x:c r="E49" s="19" t="n">
        <x:f>$C$7*D49</x:f>
        <x:v>0</x:v>
      </x:c>
      <x:c r="F49" s="19" t="n">
        <x:f>$C$12*D49</x:f>
        <x:v>0</x:v>
      </x:c>
      <x:c r="G49" s="19" t="n">
        <x:f>0</x:f>
        <x:v>0</x:v>
      </x:c>
      <x:c r="H49" s="19" t="n">
        <x:f>$C$13*D49</x:f>
        <x:v>0</x:v>
      </x:c>
      <x:c r="I49" s="19" t="n">
        <x:f>$C$14*D49</x:f>
        <x:v>0</x:v>
      </x:c>
      <x:c r="J49" s="19" t="n">
        <x:f>(E49+F49)*C49</x:f>
        <x:v>0</x:v>
      </x:c>
      <x:c r="K49" s="19" t="n">
        <x:f>(G49+H49+I49)*C49</x:f>
        <x:v>0</x:v>
      </x:c>
      <x:c r="L49" s="19" t="n">
        <x:f>L48+E49*C49-K49</x:f>
        <x:v>-2790.29961521423</x:v>
      </x:c>
      <x:c r="M49" s="19" t="n">
        <x:f>M48+J49-K49</x:f>
        <x:v>-2463.914526267578</x:v>
      </x:c>
    </x:row>
    <x:row r="50" ht="24" customHeight="1">
      <x:c r="A50" s="2"/>
      <x:c r="B50" s="34" t="n">
        <x:f>B49+1</x:f>
        <x:v>25</x:v>
      </x:c>
      <x:c r="C50" s="36" t="n">
        <x:f>IF('Inputs'!$C$7="Constant",(1+'Inputs'!$C$8)^(-B50),(1+'Inputs'!$C$9)^(-MIN(B50,'Inputs'!$C$11))*(1+'Inputs'!$C$10)^(-MAX(B50-'Inputs'!$C$11,0)))</x:f>
        <x:v>0.4231469892699888</x:v>
      </x:c>
      <x:c r="D50" s="34" t="n">
        <x:f>IF(B50&lt;=$C$5,1,0)</x:f>
        <x:v>0</x:v>
      </x:c>
      <x:c r="E50" s="19" t="n">
        <x:f>$C$7*D50</x:f>
        <x:v>0</x:v>
      </x:c>
      <x:c r="F50" s="19" t="n">
        <x:f>$C$12*D50</x:f>
        <x:v>0</x:v>
      </x:c>
      <x:c r="G50" s="19" t="n">
        <x:f>0</x:f>
        <x:v>0</x:v>
      </x:c>
      <x:c r="H50" s="19" t="n">
        <x:f>$C$13*D50</x:f>
        <x:v>0</x:v>
      </x:c>
      <x:c r="I50" s="19" t="n">
        <x:f>$C$14*D50</x:f>
        <x:v>0</x:v>
      </x:c>
      <x:c r="J50" s="19" t="n">
        <x:f>(E50+F50)*C50</x:f>
        <x:v>0</x:v>
      </x:c>
      <x:c r="K50" s="19" t="n">
        <x:f>(G50+H50+I50)*C50</x:f>
        <x:v>0</x:v>
      </x:c>
      <x:c r="L50" s="19" t="n">
        <x:f>L49+E50*C50-K50</x:f>
        <x:v>-2790.29961521423</x:v>
      </x:c>
      <x:c r="M50" s="19" t="n">
        <x:f>M49+J50-K50</x:f>
        <x:v>-2463.914526267578</x:v>
      </x:c>
    </x:row>
    <x:row r="51" ht="24" customHeight="1">
      <x:c r="A51" s="2"/>
      <x:c r="B51" s="34" t="n">
        <x:f>B50+1</x:f>
        <x:v>26</x:v>
      </x:c>
      <x:c r="C51" s="36" t="n">
        <x:f>IF('Inputs'!$C$7="Constant",(1+'Inputs'!$C$8)^(-B51),(1+'Inputs'!$C$9)^(-MIN(B51,'Inputs'!$C$11))*(1+'Inputs'!$C$10)^(-MAX(B51-'Inputs'!$C$11,0)))</x:f>
        <x:v>0.4088376707922597</x:v>
      </x:c>
      <x:c r="D51" s="34" t="n">
        <x:f>IF(B51&lt;=$C$5,1,0)</x:f>
        <x:v>0</x:v>
      </x:c>
      <x:c r="E51" s="19" t="n">
        <x:f>$C$7*D51</x:f>
        <x:v>0</x:v>
      </x:c>
      <x:c r="F51" s="19" t="n">
        <x:f>$C$12*D51</x:f>
        <x:v>0</x:v>
      </x:c>
      <x:c r="G51" s="19" t="n">
        <x:f>0</x:f>
        <x:v>0</x:v>
      </x:c>
      <x:c r="H51" s="19" t="n">
        <x:f>$C$13*D51</x:f>
        <x:v>0</x:v>
      </x:c>
      <x:c r="I51" s="19" t="n">
        <x:f>$C$14*D51</x:f>
        <x:v>0</x:v>
      </x:c>
      <x:c r="J51" s="19" t="n">
        <x:f>(E51+F51)*C51</x:f>
        <x:v>0</x:v>
      </x:c>
      <x:c r="K51" s="19" t="n">
        <x:f>(G51+H51+I51)*C51</x:f>
        <x:v>0</x:v>
      </x:c>
      <x:c r="L51" s="19" t="n">
        <x:f>L50+E51*C51-K51</x:f>
        <x:v>-2790.29961521423</x:v>
      </x:c>
      <x:c r="M51" s="19" t="n">
        <x:f>M50+J51-K51</x:f>
        <x:v>-2463.914526267578</x:v>
      </x:c>
    </x:row>
    <x:row r="52" ht="24" customHeight="1">
      <x:c r="A52" s="2"/>
      <x:c r="B52" s="34" t="n">
        <x:f>B51+1</x:f>
        <x:v>27</x:v>
      </x:c>
      <x:c r="C52" s="36" t="n">
        <x:f>IF('Inputs'!$C$7="Constant",(1+'Inputs'!$C$8)^(-B52),(1+'Inputs'!$C$9)^(-MIN(B52,'Inputs'!$C$11))*(1+'Inputs'!$C$10)^(-MAX(B52-'Inputs'!$C$11,0)))</x:f>
        <x:v>0.39501224231136206</x:v>
      </x:c>
      <x:c r="D52" s="34" t="n">
        <x:f>IF(B52&lt;=$C$5,1,0)</x:f>
        <x:v>0</x:v>
      </x:c>
      <x:c r="E52" s="19" t="n">
        <x:f>$C$7*D52</x:f>
        <x:v>0</x:v>
      </x:c>
      <x:c r="F52" s="19" t="n">
        <x:f>$C$12*D52</x:f>
        <x:v>0</x:v>
      </x:c>
      <x:c r="G52" s="19" t="n">
        <x:f>0</x:f>
        <x:v>0</x:v>
      </x:c>
      <x:c r="H52" s="19" t="n">
        <x:f>$C$13*D52</x:f>
        <x:v>0</x:v>
      </x:c>
      <x:c r="I52" s="19" t="n">
        <x:f>$C$14*D52</x:f>
        <x:v>0</x:v>
      </x:c>
      <x:c r="J52" s="19" t="n">
        <x:f>(E52+F52)*C52</x:f>
        <x:v>0</x:v>
      </x:c>
      <x:c r="K52" s="19" t="n">
        <x:f>(G52+H52+I52)*C52</x:f>
        <x:v>0</x:v>
      </x:c>
      <x:c r="L52" s="19" t="n">
        <x:f>L51+E52*C52-K52</x:f>
        <x:v>-2790.29961521423</x:v>
      </x:c>
      <x:c r="M52" s="19" t="n">
        <x:f>M51+J52-K52</x:f>
        <x:v>-2463.914526267578</x:v>
      </x:c>
    </x:row>
    <x:row r="53" ht="24" customHeight="1">
      <x:c r="A53" s="2"/>
      <x:c r="B53" s="34" t="n">
        <x:f>B52+1</x:f>
        <x:v>28</x:v>
      </x:c>
      <x:c r="C53" s="36" t="n">
        <x:f>IF('Inputs'!$C$7="Constant",(1+'Inputs'!$C$8)^(-B53),(1+'Inputs'!$C$9)^(-MIN(B53,'Inputs'!$C$11))*(1+'Inputs'!$C$10)^(-MAX(B53-'Inputs'!$C$11,0)))</x:f>
        <x:v>0.3816543403974513</x:v>
      </x:c>
      <x:c r="D53" s="34" t="n">
        <x:f>IF(B53&lt;=$C$5,1,0)</x:f>
        <x:v>0</x:v>
      </x:c>
      <x:c r="E53" s="19" t="n">
        <x:f>$C$7*D53</x:f>
        <x:v>0</x:v>
      </x:c>
      <x:c r="F53" s="19" t="n">
        <x:f>$C$12*D53</x:f>
        <x:v>0</x:v>
      </x:c>
      <x:c r="G53" s="19" t="n">
        <x:f>0</x:f>
        <x:v>0</x:v>
      </x:c>
      <x:c r="H53" s="19" t="n">
        <x:f>$C$13*D53</x:f>
        <x:v>0</x:v>
      </x:c>
      <x:c r="I53" s="19" t="n">
        <x:f>$C$14*D53</x:f>
        <x:v>0</x:v>
      </x:c>
      <x:c r="J53" s="19" t="n">
        <x:f>(E53+F53)*C53</x:f>
        <x:v>0</x:v>
      </x:c>
      <x:c r="K53" s="19" t="n">
        <x:f>(G53+H53+I53)*C53</x:f>
        <x:v>0</x:v>
      </x:c>
      <x:c r="L53" s="19" t="n">
        <x:f>L52+E53*C53-K53</x:f>
        <x:v>-2790.29961521423</x:v>
      </x:c>
      <x:c r="M53" s="19" t="n">
        <x:f>M52+J53-K53</x:f>
        <x:v>-2463.914526267578</x:v>
      </x:c>
    </x:row>
    <x:row r="54" ht="24" customHeight="1">
      <x:c r="A54" s="2"/>
      <x:c r="B54" s="34" t="n">
        <x:f>B53+1</x:f>
        <x:v>29</x:v>
      </x:c>
      <x:c r="C54" s="36" t="n">
        <x:f>IF('Inputs'!$C$7="Constant",(1+'Inputs'!$C$8)^(-B54),(1+'Inputs'!$C$9)^(-MIN(B54,'Inputs'!$C$11))*(1+'Inputs'!$C$10)^(-MAX(B54-'Inputs'!$C$11,0)))</x:f>
        <x:v>0.3687481549733829</x:v>
      </x:c>
      <x:c r="D54" s="34" t="n">
        <x:f>IF(B54&lt;=$C$5,1,0)</x:f>
        <x:v>0</x:v>
      </x:c>
      <x:c r="E54" s="19" t="n">
        <x:f>$C$7*D54</x:f>
        <x:v>0</x:v>
      </x:c>
      <x:c r="F54" s="19" t="n">
        <x:f>$C$12*D54</x:f>
        <x:v>0</x:v>
      </x:c>
      <x:c r="G54" s="19" t="n">
        <x:f>0</x:f>
        <x:v>0</x:v>
      </x:c>
      <x:c r="H54" s="19" t="n">
        <x:f>$C$13*D54</x:f>
        <x:v>0</x:v>
      </x:c>
      <x:c r="I54" s="19" t="n">
        <x:f>$C$14*D54</x:f>
        <x:v>0</x:v>
      </x:c>
      <x:c r="J54" s="19" t="n">
        <x:f>(E54+F54)*C54</x:f>
        <x:v>0</x:v>
      </x:c>
      <x:c r="K54" s="19" t="n">
        <x:f>(G54+H54+I54)*C54</x:f>
        <x:v>0</x:v>
      </x:c>
      <x:c r="L54" s="19" t="n">
        <x:f>L53+E54*C54-K54</x:f>
        <x:v>-2790.29961521423</x:v>
      </x:c>
      <x:c r="M54" s="19" t="n">
        <x:f>M53+J54-K54</x:f>
        <x:v>-2463.914526267578</x:v>
      </x:c>
    </x:row>
    <x:row r="55" ht="24" customHeight="1">
      <x:c r="A55" s="2"/>
      <x:c r="B55" s="34" t="n">
        <x:f>B54+1</x:f>
        <x:v>30</x:v>
      </x:c>
      <x:c r="C55" s="36" t="n">
        <x:f>IF('Inputs'!$C$7="Constant",(1+'Inputs'!$C$8)^(-B55),(1+'Inputs'!$C$9)^(-MIN(B55,'Inputs'!$C$11))*(1+'Inputs'!$C$10)^(-MAX(B55-'Inputs'!$C$11,0)))</x:f>
        <x:v>0.35627841060230236</x:v>
      </x:c>
      <x:c r="D55" s="34" t="n">
        <x:f>IF(B55&lt;=$C$5,1,0)</x:f>
        <x:v>0</x:v>
      </x:c>
      <x:c r="E55" s="19" t="n">
        <x:f>$C$7*D55</x:f>
        <x:v>0</x:v>
      </x:c>
      <x:c r="F55" s="19" t="n">
        <x:f>$C$12*D55</x:f>
        <x:v>0</x:v>
      </x:c>
      <x:c r="G55" s="19" t="n">
        <x:f>0</x:f>
        <x:v>0</x:v>
      </x:c>
      <x:c r="H55" s="19" t="n">
        <x:f>$C$13*D55</x:f>
        <x:v>0</x:v>
      </x:c>
      <x:c r="I55" s="19" t="n">
        <x:f>$C$14*D55</x:f>
        <x:v>0</x:v>
      </x:c>
      <x:c r="J55" s="19" t="n">
        <x:f>(E55+F55)*C55</x:f>
        <x:v>0</x:v>
      </x:c>
      <x:c r="K55" s="19" t="n">
        <x:f>(G55+H55+I55)*C55</x:f>
        <x:v>0</x:v>
      </x:c>
      <x:c r="L55" s="19" t="n">
        <x:f>L54+E55*C55-K55</x:f>
        <x:v>-2790.29961521423</x:v>
      </x:c>
      <x:c r="M55" s="19" t="n">
        <x:f>M54+J55-K55</x:f>
        <x:v>-2463.914526267578</x:v>
      </x:c>
    </x:row>
    <x:row r="56" ht="24" customHeight="1">
      <x:c r="A56" s="2"/>
      <x:c r="B56" s="34" t="n">
        <x:f>B55+1</x:f>
        <x:v>31</x:v>
      </x:c>
      <x:c r="C56" s="36" t="n">
        <x:f>IF('Inputs'!$C$7="Constant",(1+'Inputs'!$C$8)^(-B56),(1+'Inputs'!$C$9)^(-MIN(B56,'Inputs'!$C$11))*(1+'Inputs'!$C$10)^(-MAX(B56-'Inputs'!$C$11,0)))</x:f>
        <x:v>0.3459013695167984</x:v>
      </x:c>
      <x:c r="D56" s="34" t="n">
        <x:f>IF(B56&lt;=$C$5,1,0)</x:f>
        <x:v>0</x:v>
      </x:c>
      <x:c r="E56" s="19" t="n">
        <x:f>$C$7*D56</x:f>
        <x:v>0</x:v>
      </x:c>
      <x:c r="F56" s="19" t="n">
        <x:f>$C$12*D56</x:f>
        <x:v>0</x:v>
      </x:c>
      <x:c r="G56" s="19" t="n">
        <x:f>0</x:f>
        <x:v>0</x:v>
      </x:c>
      <x:c r="H56" s="19" t="n">
        <x:f>$C$13*D56</x:f>
        <x:v>0</x:v>
      </x:c>
      <x:c r="I56" s="19" t="n">
        <x:f>$C$14*D56</x:f>
        <x:v>0</x:v>
      </x:c>
      <x:c r="J56" s="19" t="n">
        <x:f>(E56+F56)*C56</x:f>
        <x:v>0</x:v>
      </x:c>
      <x:c r="K56" s="19" t="n">
        <x:f>(G56+H56+I56)*C56</x:f>
        <x:v>0</x:v>
      </x:c>
      <x:c r="L56" s="19" t="n">
        <x:f>L55+E56*C56-K56</x:f>
        <x:v>-2790.29961521423</x:v>
      </x:c>
      <x:c r="M56" s="19" t="n">
        <x:f>M55+J56-K56</x:f>
        <x:v>-2463.914526267578</x:v>
      </x:c>
    </x:row>
    <x:row r="57" ht="24" customHeight="1">
      <x:c r="A57" s="2"/>
      <x:c r="B57" s="34" t="n">
        <x:f>B56+1</x:f>
        <x:v>32</x:v>
      </x:c>
      <x:c r="C57" s="36" t="n">
        <x:f>IF('Inputs'!$C$7="Constant",(1+'Inputs'!$C$8)^(-B57),(1+'Inputs'!$C$9)^(-MIN(B57,'Inputs'!$C$11))*(1+'Inputs'!$C$10)^(-MAX(B57-'Inputs'!$C$11,0)))</x:f>
        <x:v>0.3358265723464062</x:v>
      </x:c>
      <x:c r="D57" s="34" t="n">
        <x:f>IF(B57&lt;=$C$5,1,0)</x:f>
        <x:v>0</x:v>
      </x:c>
      <x:c r="E57" s="19" t="n">
        <x:f>$C$7*D57</x:f>
        <x:v>0</x:v>
      </x:c>
      <x:c r="F57" s="19" t="n">
        <x:f>$C$12*D57</x:f>
        <x:v>0</x:v>
      </x:c>
      <x:c r="G57" s="19" t="n">
        <x:f>0</x:f>
        <x:v>0</x:v>
      </x:c>
      <x:c r="H57" s="19" t="n">
        <x:f>$C$13*D57</x:f>
        <x:v>0</x:v>
      </x:c>
      <x:c r="I57" s="19" t="n">
        <x:f>$C$14*D57</x:f>
        <x:v>0</x:v>
      </x:c>
      <x:c r="J57" s="19" t="n">
        <x:f>(E57+F57)*C57</x:f>
        <x:v>0</x:v>
      </x:c>
      <x:c r="K57" s="19" t="n">
        <x:f>(G57+H57+I57)*C57</x:f>
        <x:v>0</x:v>
      </x:c>
      <x:c r="L57" s="19" t="n">
        <x:f>L56+E57*C57-K57</x:f>
        <x:v>-2790.29961521423</x:v>
      </x:c>
      <x:c r="M57" s="19" t="n">
        <x:f>M56+J57-K57</x:f>
        <x:v>-2463.914526267578</x:v>
      </x:c>
    </x:row>
    <x:row r="58" ht="24" customHeight="1">
      <x:c r="A58" s="2"/>
      <x:c r="B58" s="34" t="n">
        <x:f>B57+1</x:f>
        <x:v>33</x:v>
      </x:c>
      <x:c r="C58" s="36" t="n">
        <x:f>IF('Inputs'!$C$7="Constant",(1+'Inputs'!$C$8)^(-B58),(1+'Inputs'!$C$9)^(-MIN(B58,'Inputs'!$C$11))*(1+'Inputs'!$C$10)^(-MAX(B58-'Inputs'!$C$11,0)))</x:f>
        <x:v>0.3260452158702973</x:v>
      </x:c>
      <x:c r="D58" s="34" t="n">
        <x:f>IF(B58&lt;=$C$5,1,0)</x:f>
        <x:v>0</x:v>
      </x:c>
      <x:c r="E58" s="19" t="n">
        <x:f>$C$7*D58</x:f>
        <x:v>0</x:v>
      </x:c>
      <x:c r="F58" s="19" t="n">
        <x:f>$C$12*D58</x:f>
        <x:v>0</x:v>
      </x:c>
      <x:c r="G58" s="19" t="n">
        <x:f>0</x:f>
        <x:v>0</x:v>
      </x:c>
      <x:c r="H58" s="19" t="n">
        <x:f>$C$13*D58</x:f>
        <x:v>0</x:v>
      </x:c>
      <x:c r="I58" s="19" t="n">
        <x:f>$C$14*D58</x:f>
        <x:v>0</x:v>
      </x:c>
      <x:c r="J58" s="19" t="n">
        <x:f>(E58+F58)*C58</x:f>
        <x:v>0</x:v>
      </x:c>
      <x:c r="K58" s="19" t="n">
        <x:f>(G58+H58+I58)*C58</x:f>
        <x:v>0</x:v>
      </x:c>
      <x:c r="L58" s="19" t="n">
        <x:f>L57+E58*C58-K58</x:f>
        <x:v>-2790.29961521423</x:v>
      </x:c>
      <x:c r="M58" s="19" t="n">
        <x:f>M57+J58-K58</x:f>
        <x:v>-2463.914526267578</x:v>
      </x:c>
    </x:row>
    <x:row r="59" ht="24" customHeight="1">
      <x:c r="A59" s="2"/>
      <x:c r="B59" s="34" t="n">
        <x:f>B58+1</x:f>
        <x:v>34</x:v>
      </x:c>
      <x:c r="C59" s="36" t="n">
        <x:f>IF('Inputs'!$C$7="Constant",(1+'Inputs'!$C$8)^(-B59),(1+'Inputs'!$C$9)^(-MIN(B59,'Inputs'!$C$11))*(1+'Inputs'!$C$10)^(-MAX(B59-'Inputs'!$C$11,0)))</x:f>
        <x:v>0.3165487532721333</x:v>
      </x:c>
      <x:c r="D59" s="34" t="n">
        <x:f>IF(B59&lt;=$C$5,1,0)</x:f>
        <x:v>0</x:v>
      </x:c>
      <x:c r="E59" s="19" t="n">
        <x:f>$C$7*D59</x:f>
        <x:v>0</x:v>
      </x:c>
      <x:c r="F59" s="19" t="n">
        <x:f>$C$12*D59</x:f>
        <x:v>0</x:v>
      </x:c>
      <x:c r="G59" s="19" t="n">
        <x:f>0</x:f>
        <x:v>0</x:v>
      </x:c>
      <x:c r="H59" s="19" t="n">
        <x:f>$C$13*D59</x:f>
        <x:v>0</x:v>
      </x:c>
      <x:c r="I59" s="19" t="n">
        <x:f>$C$14*D59</x:f>
        <x:v>0</x:v>
      </x:c>
      <x:c r="J59" s="19" t="n">
        <x:f>(E59+F59)*C59</x:f>
        <x:v>0</x:v>
      </x:c>
      <x:c r="K59" s="19" t="n">
        <x:f>(G59+H59+I59)*C59</x:f>
        <x:v>0</x:v>
      </x:c>
      <x:c r="L59" s="19" t="n">
        <x:f>L58+E59*C59-K59</x:f>
        <x:v>-2790.29961521423</x:v>
      </x:c>
      <x:c r="M59" s="19" t="n">
        <x:f>M58+J59-K59</x:f>
        <x:v>-2463.914526267578</x:v>
      </x:c>
    </x:row>
    <x:row r="60" ht="24" customHeight="1">
      <x:c r="A60" s="2"/>
      <x:c r="B60" s="34" t="n">
        <x:f>B59+1</x:f>
        <x:v>35</x:v>
      </x:c>
      <x:c r="C60" s="36" t="n">
        <x:f>IF('Inputs'!$C$7="Constant",(1+'Inputs'!$C$8)^(-B60),(1+'Inputs'!$C$9)^(-MIN(B60,'Inputs'!$C$11))*(1+'Inputs'!$C$10)^(-MAX(B60-'Inputs'!$C$11,0)))</x:f>
        <x:v>0.30732888667197406</x:v>
      </x:c>
      <x:c r="D60" s="34" t="n">
        <x:f>IF(B60&lt;=$C$5,1,0)</x:f>
        <x:v>0</x:v>
      </x:c>
      <x:c r="E60" s="19" t="n">
        <x:f>$C$7*D60</x:f>
        <x:v>0</x:v>
      </x:c>
      <x:c r="F60" s="19" t="n">
        <x:f>$C$12*D60</x:f>
        <x:v>0</x:v>
      </x:c>
      <x:c r="G60" s="19" t="n">
        <x:f>0</x:f>
        <x:v>0</x:v>
      </x:c>
      <x:c r="H60" s="19" t="n">
        <x:f>$C$13*D60</x:f>
        <x:v>0</x:v>
      </x:c>
      <x:c r="I60" s="19" t="n">
        <x:f>$C$14*D60</x:f>
        <x:v>0</x:v>
      </x:c>
      <x:c r="J60" s="19" t="n">
        <x:f>(E60+F60)*C60</x:f>
        <x:v>0</x:v>
      </x:c>
      <x:c r="K60" s="19" t="n">
        <x:f>(G60+H60+I60)*C60</x:f>
        <x:v>0</x:v>
      </x:c>
      <x:c r="L60" s="19" t="n">
        <x:f>L59+E60*C60-K60</x:f>
        <x:v>-2790.29961521423</x:v>
      </x:c>
      <x:c r="M60" s="19" t="n">
        <x:f>M59+J60-K60</x:f>
        <x:v>-2463.914526267578</x:v>
      </x:c>
    </x:row>
    <x:row r="61" ht="24" customHeight="1">
      <x:c r="A61" s="2"/>
      <x:c r="B61" s="34" t="n">
        <x:f>B60+1</x:f>
        <x:v>36</x:v>
      </x:c>
      <x:c r="C61" s="36" t="n">
        <x:f>IF('Inputs'!$C$7="Constant",(1+'Inputs'!$C$8)^(-B61),(1+'Inputs'!$C$9)^(-MIN(B61,'Inputs'!$C$11))*(1+'Inputs'!$C$10)^(-MAX(B61-'Inputs'!$C$11,0)))</x:f>
        <x:v>0.29837755987570297</x:v>
      </x:c>
      <x:c r="D61" s="34" t="n">
        <x:f>IF(B61&lt;=$C$5,1,0)</x:f>
        <x:v>0</x:v>
      </x:c>
      <x:c r="E61" s="19" t="n">
        <x:f>$C$7*D61</x:f>
        <x:v>0</x:v>
      </x:c>
      <x:c r="F61" s="19" t="n">
        <x:f>$C$12*D61</x:f>
        <x:v>0</x:v>
      </x:c>
      <x:c r="G61" s="19" t="n">
        <x:f>0</x:f>
        <x:v>0</x:v>
      </x:c>
      <x:c r="H61" s="19" t="n">
        <x:f>$C$13*D61</x:f>
        <x:v>0</x:v>
      </x:c>
      <x:c r="I61" s="19" t="n">
        <x:f>$C$14*D61</x:f>
        <x:v>0</x:v>
      </x:c>
      <x:c r="J61" s="19" t="n">
        <x:f>(E61+F61)*C61</x:f>
        <x:v>0</x:v>
      </x:c>
      <x:c r="K61" s="19" t="n">
        <x:f>(G61+H61+I61)*C61</x:f>
        <x:v>0</x:v>
      </x:c>
      <x:c r="L61" s="19" t="n">
        <x:f>L60+E61*C61-K61</x:f>
        <x:v>-2790.29961521423</x:v>
      </x:c>
      <x:c r="M61" s="19" t="n">
        <x:f>M60+J61-K61</x:f>
        <x:v>-2463.914526267578</x:v>
      </x:c>
    </x:row>
    <x:row r="62" ht="24" customHeight="1">
      <x:c r="A62" s="2"/>
      <x:c r="B62" s="34" t="n">
        <x:f>B61+1</x:f>
        <x:v>37</x:v>
      </x:c>
      <x:c r="C62" s="36" t="n">
        <x:f>IF('Inputs'!$C$7="Constant",(1+'Inputs'!$C$8)^(-B62),(1+'Inputs'!$C$9)^(-MIN(B62,'Inputs'!$C$11))*(1+'Inputs'!$C$10)^(-MAX(B62-'Inputs'!$C$11,0)))</x:f>
        <x:v>0.28968695133563394</x:v>
      </x:c>
      <x:c r="D62" s="34" t="n">
        <x:f>IF(B62&lt;=$C$5,1,0)</x:f>
        <x:v>0</x:v>
      </x:c>
      <x:c r="E62" s="19" t="n">
        <x:f>$C$7*D62</x:f>
        <x:v>0</x:v>
      </x:c>
      <x:c r="F62" s="19" t="n">
        <x:f>$C$12*D62</x:f>
        <x:v>0</x:v>
      </x:c>
      <x:c r="G62" s="19" t="n">
        <x:f>0</x:f>
        <x:v>0</x:v>
      </x:c>
      <x:c r="H62" s="19" t="n">
        <x:f>$C$13*D62</x:f>
        <x:v>0</x:v>
      </x:c>
      <x:c r="I62" s="19" t="n">
        <x:f>$C$14*D62</x:f>
        <x:v>0</x:v>
      </x:c>
      <x:c r="J62" s="19" t="n">
        <x:f>(E62+F62)*C62</x:f>
        <x:v>0</x:v>
      </x:c>
      <x:c r="K62" s="19" t="n">
        <x:f>(G62+H62+I62)*C62</x:f>
        <x:v>0</x:v>
      </x:c>
      <x:c r="L62" s="19" t="n">
        <x:f>L61+E62*C62-K62</x:f>
        <x:v>-2790.29961521423</x:v>
      </x:c>
      <x:c r="M62" s="19" t="n">
        <x:f>M61+J62-K62</x:f>
        <x:v>-2463.914526267578</x:v>
      </x:c>
    </x:row>
    <x:row r="63" ht="24" customHeight="1">
      <x:c r="A63" s="2"/>
      <x:c r="B63" s="34" t="n">
        <x:f>B62+1</x:f>
        <x:v>38</x:v>
      </x:c>
      <x:c r="C63" s="36" t="n">
        <x:f>IF('Inputs'!$C$7="Constant",(1+'Inputs'!$C$8)^(-B63),(1+'Inputs'!$C$9)^(-MIN(B63,'Inputs'!$C$11))*(1+'Inputs'!$C$10)^(-MAX(B63-'Inputs'!$C$11,0)))</x:f>
        <x:v>0.2812494673161494</x:v>
      </x:c>
      <x:c r="D63" s="34" t="n">
        <x:f>IF(B63&lt;=$C$5,1,0)</x:f>
        <x:v>0</x:v>
      </x:c>
      <x:c r="E63" s="19" t="n">
        <x:f>$C$7*D63</x:f>
        <x:v>0</x:v>
      </x:c>
      <x:c r="F63" s="19" t="n">
        <x:f>$C$12*D63</x:f>
        <x:v>0</x:v>
      </x:c>
      <x:c r="G63" s="19" t="n">
        <x:f>0</x:f>
        <x:v>0</x:v>
      </x:c>
      <x:c r="H63" s="19" t="n">
        <x:f>$C$13*D63</x:f>
        <x:v>0</x:v>
      </x:c>
      <x:c r="I63" s="19" t="n">
        <x:f>$C$14*D63</x:f>
        <x:v>0</x:v>
      </x:c>
      <x:c r="J63" s="19" t="n">
        <x:f>(E63+F63)*C63</x:f>
        <x:v>0</x:v>
      </x:c>
      <x:c r="K63" s="19" t="n">
        <x:f>(G63+H63+I63)*C63</x:f>
        <x:v>0</x:v>
      </x:c>
      <x:c r="L63" s="19" t="n">
        <x:f>L62+E63*C63-K63</x:f>
        <x:v>-2790.29961521423</x:v>
      </x:c>
      <x:c r="M63" s="19" t="n">
        <x:f>M62+J63-K63</x:f>
        <x:v>-2463.914526267578</x:v>
      </x:c>
    </x:row>
    <x:row r="64" ht="24" customHeight="1">
      <x:c r="A64" s="2"/>
      <x:c r="B64" s="34" t="n">
        <x:f>B63+1</x:f>
        <x:v>39</x:v>
      </x:c>
      <x:c r="C64" s="36" t="n">
        <x:f>IF('Inputs'!$C$7="Constant",(1+'Inputs'!$C$8)^(-B64),(1+'Inputs'!$C$9)^(-MIN(B64,'Inputs'!$C$11))*(1+'Inputs'!$C$10)^(-MAX(B64-'Inputs'!$C$11,0)))</x:f>
        <x:v>0.2730577352583975</x:v>
      </x:c>
      <x:c r="D64" s="34" t="n">
        <x:f>IF(B64&lt;=$C$5,1,0)</x:f>
        <x:v>0</x:v>
      </x:c>
      <x:c r="E64" s="19" t="n">
        <x:f>$C$7*D64</x:f>
        <x:v>0</x:v>
      </x:c>
      <x:c r="F64" s="19" t="n">
        <x:f>$C$12*D64</x:f>
        <x:v>0</x:v>
      </x:c>
      <x:c r="G64" s="19" t="n">
        <x:f>0</x:f>
        <x:v>0</x:v>
      </x:c>
      <x:c r="H64" s="19" t="n">
        <x:f>$C$13*D64</x:f>
        <x:v>0</x:v>
      </x:c>
      <x:c r="I64" s="19" t="n">
        <x:f>$C$14*D64</x:f>
        <x:v>0</x:v>
      </x:c>
      <x:c r="J64" s="19" t="n">
        <x:f>(E64+F64)*C64</x:f>
        <x:v>0</x:v>
      </x:c>
      <x:c r="K64" s="19" t="n">
        <x:f>(G64+H64+I64)*C64</x:f>
        <x:v>0</x:v>
      </x:c>
      <x:c r="L64" s="19" t="n">
        <x:f>L63+E64*C64-K64</x:f>
        <x:v>-2790.29961521423</x:v>
      </x:c>
      <x:c r="M64" s="19" t="n">
        <x:f>M63+J64-K64</x:f>
        <x:v>-2463.914526267578</x:v>
      </x:c>
    </x:row>
    <x:row r="65" ht="24" customHeight="1">
      <x:c r="A65" s="2"/>
      <x:c r="B65" s="34" t="n">
        <x:f>B64+1</x:f>
        <x:v>40</x:v>
      </x:c>
      <x:c r="C65" s="36" t="n">
        <x:f>IF('Inputs'!$C$7="Constant",(1+'Inputs'!$C$8)^(-B65),(1+'Inputs'!$C$9)^(-MIN(B65,'Inputs'!$C$11))*(1+'Inputs'!$C$10)^(-MAX(B65-'Inputs'!$C$11,0)))</x:f>
        <x:v>0.26510459733825</x:v>
      </x:c>
      <x:c r="D65" s="34" t="n">
        <x:f>IF(B65&lt;=$C$5,1,0)</x:f>
        <x:v>0</x:v>
      </x:c>
      <x:c r="E65" s="19" t="n">
        <x:f>$C$7*D65</x:f>
        <x:v>0</x:v>
      </x:c>
      <x:c r="F65" s="19" t="n">
        <x:f>$C$12*D65</x:f>
        <x:v>0</x:v>
      </x:c>
      <x:c r="G65" s="19" t="n">
        <x:f>0</x:f>
        <x:v>0</x:v>
      </x:c>
      <x:c r="H65" s="19" t="n">
        <x:f>$C$13*D65</x:f>
        <x:v>0</x:v>
      </x:c>
      <x:c r="I65" s="19" t="n">
        <x:f>$C$14*D65</x:f>
        <x:v>0</x:v>
      </x:c>
      <x:c r="J65" s="19" t="n">
        <x:f>(E65+F65)*C65</x:f>
        <x:v>0</x:v>
      </x:c>
      <x:c r="K65" s="19" t="n">
        <x:f>(G65+H65+I65)*C65</x:f>
        <x:v>0</x:v>
      </x:c>
      <x:c r="L65" s="19" t="n">
        <x:f>L64+E65*C65-K65</x:f>
        <x:v>-2790.29961521423</x:v>
      </x:c>
      <x:c r="M65" s="19" t="n">
        <x:f>M64+J65-K65</x:f>
        <x:v>-2463.914526267578</x:v>
      </x:c>
    </x:row>
    <x:row r="66" ht="24" customHeight="1">
      <x:c r="A66" s="2"/>
      <x:c r="B66" s="34" t="n">
        <x:f>B65+1</x:f>
        <x:v>41</x:v>
      </x:c>
      <x:c r="C66" s="36" t="n">
        <x:f>IF('Inputs'!$C$7="Constant",(1+'Inputs'!$C$8)^(-B66),(1+'Inputs'!$C$9)^(-MIN(B66,'Inputs'!$C$11))*(1+'Inputs'!$C$10)^(-MAX(B66-'Inputs'!$C$11,0)))</x:f>
        <x:v>0.2573831042118932</x:v>
      </x:c>
      <x:c r="D66" s="34" t="n">
        <x:f>IF(B66&lt;=$C$5,1,0)</x:f>
        <x:v>0</x:v>
      </x:c>
      <x:c r="E66" s="19" t="n">
        <x:f>$C$7*D66</x:f>
        <x:v>0</x:v>
      </x:c>
      <x:c r="F66" s="19" t="n">
        <x:f>$C$12*D66</x:f>
        <x:v>0</x:v>
      </x:c>
      <x:c r="G66" s="19" t="n">
        <x:f>0</x:f>
        <x:v>0</x:v>
      </x:c>
      <x:c r="H66" s="19" t="n">
        <x:f>$C$13*D66</x:f>
        <x:v>0</x:v>
      </x:c>
      <x:c r="I66" s="19" t="n">
        <x:f>$C$14*D66</x:f>
        <x:v>0</x:v>
      </x:c>
      <x:c r="J66" s="19" t="n">
        <x:f>(E66+F66)*C66</x:f>
        <x:v>0</x:v>
      </x:c>
      <x:c r="K66" s="19" t="n">
        <x:f>(G66+H66+I66)*C66</x:f>
        <x:v>0</x:v>
      </x:c>
      <x:c r="L66" s="19" t="n">
        <x:f>L65+E66*C66-K66</x:f>
        <x:v>-2790.29961521423</x:v>
      </x:c>
      <x:c r="M66" s="19" t="n">
        <x:f>M65+J66-K66</x:f>
        <x:v>-2463.914526267578</x:v>
      </x:c>
    </x:row>
    <x:row r="67" ht="24" customHeight="1">
      <x:c r="A67" s="2"/>
      <x:c r="B67" s="34" t="n">
        <x:f>B66+1</x:f>
        <x:v>42</x:v>
      </x:c>
      <x:c r="C67" s="36" t="n">
        <x:f>IF('Inputs'!$C$7="Constant",(1+'Inputs'!$C$8)^(-B67),(1+'Inputs'!$C$9)^(-MIN(B67,'Inputs'!$C$11))*(1+'Inputs'!$C$10)^(-MAX(B67-'Inputs'!$C$11,0)))</x:f>
        <x:v>0.2498865089435856</x:v>
      </x:c>
      <x:c r="D67" s="34" t="n">
        <x:f>IF(B67&lt;=$C$5,1,0)</x:f>
        <x:v>0</x:v>
      </x:c>
      <x:c r="E67" s="19" t="n">
        <x:f>$C$7*D67</x:f>
        <x:v>0</x:v>
      </x:c>
      <x:c r="F67" s="19" t="n">
        <x:f>$C$12*D67</x:f>
        <x:v>0</x:v>
      </x:c>
      <x:c r="G67" s="19" t="n">
        <x:f>0</x:f>
        <x:v>0</x:v>
      </x:c>
      <x:c r="H67" s="19" t="n">
        <x:f>$C$13*D67</x:f>
        <x:v>0</x:v>
      </x:c>
      <x:c r="I67" s="19" t="n">
        <x:f>$C$14*D67</x:f>
        <x:v>0</x:v>
      </x:c>
      <x:c r="J67" s="19" t="n">
        <x:f>(E67+F67)*C67</x:f>
        <x:v>0</x:v>
      </x:c>
      <x:c r="K67" s="19" t="n">
        <x:f>(G67+H67+I67)*C67</x:f>
        <x:v>0</x:v>
      </x:c>
      <x:c r="L67" s="19" t="n">
        <x:f>L66+E67*C67-K67</x:f>
        <x:v>-2790.29961521423</x:v>
      </x:c>
      <x:c r="M67" s="19" t="n">
        <x:f>M66+J67-K67</x:f>
        <x:v>-2463.914526267578</x:v>
      </x:c>
    </x:row>
    <x:row r="68" ht="24" customHeight="1">
      <x:c r="A68" s="2"/>
      <x:c r="B68" s="34" t="n">
        <x:f>B67+1</x:f>
        <x:v>43</x:v>
      </x:c>
      <x:c r="C68" s="36" t="n">
        <x:f>IF('Inputs'!$C$7="Constant",(1+'Inputs'!$C$8)^(-B68),(1+'Inputs'!$C$9)^(-MIN(B68,'Inputs'!$C$11))*(1+'Inputs'!$C$10)^(-MAX(B68-'Inputs'!$C$11,0)))</x:f>
        <x:v>0.24260826111027728</x:v>
      </x:c>
      <x:c r="D68" s="34" t="n">
        <x:f>IF(B68&lt;=$C$5,1,0)</x:f>
        <x:v>0</x:v>
      </x:c>
      <x:c r="E68" s="19" t="n">
        <x:f>$C$7*D68</x:f>
        <x:v>0</x:v>
      </x:c>
      <x:c r="F68" s="19" t="n">
        <x:f>$C$12*D68</x:f>
        <x:v>0</x:v>
      </x:c>
      <x:c r="G68" s="19" t="n">
        <x:f>0</x:f>
        <x:v>0</x:v>
      </x:c>
      <x:c r="H68" s="19" t="n">
        <x:f>$C$13*D68</x:f>
        <x:v>0</x:v>
      </x:c>
      <x:c r="I68" s="19" t="n">
        <x:f>$C$14*D68</x:f>
        <x:v>0</x:v>
      </x:c>
      <x:c r="J68" s="19" t="n">
        <x:f>(E68+F68)*C68</x:f>
        <x:v>0</x:v>
      </x:c>
      <x:c r="K68" s="19" t="n">
        <x:f>(G68+H68+I68)*C68</x:f>
        <x:v>0</x:v>
      </x:c>
      <x:c r="L68" s="19" t="n">
        <x:f>L67+E68*C68-K68</x:f>
        <x:v>-2790.29961521423</x:v>
      </x:c>
      <x:c r="M68" s="19" t="n">
        <x:f>M67+J68-K68</x:f>
        <x:v>-2463.914526267578</x:v>
      </x:c>
    </x:row>
    <x:row r="69" ht="24" customHeight="1">
      <x:c r="A69" s="2"/>
      <x:c r="B69" s="34" t="n">
        <x:f>B68+1</x:f>
        <x:v>44</x:v>
      </x:c>
      <x:c r="C69" s="36" t="n">
        <x:f>IF('Inputs'!$C$7="Constant",(1+'Inputs'!$C$8)^(-B69),(1+'Inputs'!$C$9)^(-MIN(B69,'Inputs'!$C$11))*(1+'Inputs'!$C$10)^(-MAX(B69-'Inputs'!$C$11,0)))</x:f>
        <x:v>0.2355420010779391</x:v>
      </x:c>
      <x:c r="D69" s="34" t="n">
        <x:f>IF(B69&lt;=$C$5,1,0)</x:f>
        <x:v>0</x:v>
      </x:c>
      <x:c r="E69" s="19" t="n">
        <x:f>$C$7*D69</x:f>
        <x:v>0</x:v>
      </x:c>
      <x:c r="F69" s="19" t="n">
        <x:f>$C$12*D69</x:f>
        <x:v>0</x:v>
      </x:c>
      <x:c r="G69" s="19" t="n">
        <x:f>0</x:f>
        <x:v>0</x:v>
      </x:c>
      <x:c r="H69" s="19" t="n">
        <x:f>$C$13*D69</x:f>
        <x:v>0</x:v>
      </x:c>
      <x:c r="I69" s="19" t="n">
        <x:f>$C$14*D69</x:f>
        <x:v>0</x:v>
      </x:c>
      <x:c r="J69" s="19" t="n">
        <x:f>(E69+F69)*C69</x:f>
        <x:v>0</x:v>
      </x:c>
      <x:c r="K69" s="19" t="n">
        <x:f>(G69+H69+I69)*C69</x:f>
        <x:v>0</x:v>
      </x:c>
      <x:c r="L69" s="19" t="n">
        <x:f>L68+E69*C69-K69</x:f>
        <x:v>-2790.29961521423</x:v>
      </x:c>
      <x:c r="M69" s="19" t="n">
        <x:f>M68+J69-K69</x:f>
        <x:v>-2463.914526267578</x:v>
      </x:c>
    </x:row>
    <x:row r="70" ht="24" customHeight="1">
      <x:c r="A70" s="2"/>
      <x:c r="B70" s="34" t="n">
        <x:f>B69+1</x:f>
        <x:v>45</x:v>
      </x:c>
      <x:c r="C70" s="36" t="n">
        <x:f>IF('Inputs'!$C$7="Constant",(1+'Inputs'!$C$8)^(-B70),(1+'Inputs'!$C$9)^(-MIN(B70,'Inputs'!$C$11))*(1+'Inputs'!$C$10)^(-MAX(B70-'Inputs'!$C$11,0)))</x:f>
        <x:v>0.2286815544446011</x:v>
      </x:c>
      <x:c r="D70" s="34" t="n">
        <x:f>IF(B70&lt;=$C$5,1,0)</x:f>
        <x:v>0</x:v>
      </x:c>
      <x:c r="E70" s="19" t="n">
        <x:f>$C$7*D70</x:f>
        <x:v>0</x:v>
      </x:c>
      <x:c r="F70" s="19" t="n">
        <x:f>$C$12*D70</x:f>
        <x:v>0</x:v>
      </x:c>
      <x:c r="G70" s="19" t="n">
        <x:f>0</x:f>
        <x:v>0</x:v>
      </x:c>
      <x:c r="H70" s="19" t="n">
        <x:f>$C$13*D70</x:f>
        <x:v>0</x:v>
      </x:c>
      <x:c r="I70" s="19" t="n">
        <x:f>$C$14*D70</x:f>
        <x:v>0</x:v>
      </x:c>
      <x:c r="J70" s="19" t="n">
        <x:f>(E70+F70)*C70</x:f>
        <x:v>0</x:v>
      </x:c>
      <x:c r="K70" s="19" t="n">
        <x:f>(G70+H70+I70)*C70</x:f>
        <x:v>0</x:v>
      </x:c>
      <x:c r="L70" s="19" t="n">
        <x:f>L69+E70*C70-K70</x:f>
        <x:v>-2790.29961521423</x:v>
      </x:c>
      <x:c r="M70" s="19" t="n">
        <x:f>M69+J70-K70</x:f>
        <x:v>-2463.914526267578</x:v>
      </x:c>
    </x:row>
    <x:row r="71" ht="24" customHeight="1">
      <x:c r="A71" s="2"/>
      <x:c r="B71" s="34" t="n">
        <x:f>B70+1</x:f>
        <x:v>46</x:v>
      </x:c>
      <x:c r="C71" s="36" t="n">
        <x:f>IF('Inputs'!$C$7="Constant",(1+'Inputs'!$C$8)^(-B71),(1+'Inputs'!$C$9)^(-MIN(B71,'Inputs'!$C$11))*(1+'Inputs'!$C$10)^(-MAX(B71-'Inputs'!$C$11,0)))</x:f>
        <x:v>0.22202092664524375</x:v>
      </x:c>
      <x:c r="D71" s="34" t="n">
        <x:f>IF(B71&lt;=$C$5,1,0)</x:f>
        <x:v>0</x:v>
      </x:c>
      <x:c r="E71" s="19" t="n">
        <x:f>$C$7*D71</x:f>
        <x:v>0</x:v>
      </x:c>
      <x:c r="F71" s="19" t="n">
        <x:f>$C$12*D71</x:f>
        <x:v>0</x:v>
      </x:c>
      <x:c r="G71" s="19" t="n">
        <x:f>0</x:f>
        <x:v>0</x:v>
      </x:c>
      <x:c r="H71" s="19" t="n">
        <x:f>$C$13*D71</x:f>
        <x:v>0</x:v>
      </x:c>
      <x:c r="I71" s="19" t="n">
        <x:f>$C$14*D71</x:f>
        <x:v>0</x:v>
      </x:c>
      <x:c r="J71" s="19" t="n">
        <x:f>(E71+F71)*C71</x:f>
        <x:v>0</x:v>
      </x:c>
      <x:c r="K71" s="19" t="n">
        <x:f>(G71+H71+I71)*C71</x:f>
        <x:v>0</x:v>
      </x:c>
      <x:c r="L71" s="19" t="n">
        <x:f>L70+E71*C71-K71</x:f>
        <x:v>-2790.29961521423</x:v>
      </x:c>
      <x:c r="M71" s="19" t="n">
        <x:f>M70+J71-K71</x:f>
        <x:v>-2463.914526267578</x:v>
      </x:c>
    </x:row>
    <x:row r="72" ht="24" customHeight="1">
      <x:c r="A72" s="2"/>
      <x:c r="B72" s="34" t="n">
        <x:f>B71+1</x:f>
        <x:v>47</x:v>
      </x:c>
      <x:c r="C72" s="36" t="n">
        <x:f>IF('Inputs'!$C$7="Constant",(1+'Inputs'!$C$8)^(-B72),(1+'Inputs'!$C$9)^(-MIN(B72,'Inputs'!$C$11))*(1+'Inputs'!$C$10)^(-MAX(B72-'Inputs'!$C$11,0)))</x:f>
        <x:v>0.21555429771382886</x:v>
      </x:c>
      <x:c r="D72" s="34" t="n">
        <x:f>IF(B72&lt;=$C$5,1,0)</x:f>
        <x:v>0</x:v>
      </x:c>
      <x:c r="E72" s="19" t="n">
        <x:f>$C$7*D72</x:f>
        <x:v>0</x:v>
      </x:c>
      <x:c r="F72" s="19" t="n">
        <x:f>$C$12*D72</x:f>
        <x:v>0</x:v>
      </x:c>
      <x:c r="G72" s="19" t="n">
        <x:f>0</x:f>
        <x:v>0</x:v>
      </x:c>
      <x:c r="H72" s="19" t="n">
        <x:f>$C$13*D72</x:f>
        <x:v>0</x:v>
      </x:c>
      <x:c r="I72" s="19" t="n">
        <x:f>$C$14*D72</x:f>
        <x:v>0</x:v>
      </x:c>
      <x:c r="J72" s="19" t="n">
        <x:f>(E72+F72)*C72</x:f>
        <x:v>0</x:v>
      </x:c>
      <x:c r="K72" s="19" t="n">
        <x:f>(G72+H72+I72)*C72</x:f>
        <x:v>0</x:v>
      </x:c>
      <x:c r="L72" s="19" t="n">
        <x:f>L71+E72*C72-K72</x:f>
        <x:v>-2790.29961521423</x:v>
      </x:c>
      <x:c r="M72" s="19" t="n">
        <x:f>M71+J72-K72</x:f>
        <x:v>-2463.914526267578</x:v>
      </x:c>
    </x:row>
    <x:row r="73" ht="24" customHeight="1">
      <x:c r="A73" s="2"/>
      <x:c r="B73" s="34" t="n">
        <x:f>B72+1</x:f>
        <x:v>48</x:v>
      </x:c>
      <x:c r="C73" s="36" t="n">
        <x:f>IF('Inputs'!$C$7="Constant",(1+'Inputs'!$C$8)^(-B73),(1+'Inputs'!$C$9)^(-MIN(B73,'Inputs'!$C$11))*(1+'Inputs'!$C$10)^(-MAX(B73-'Inputs'!$C$11,0)))</x:f>
        <x:v>0.2092760171978921</x:v>
      </x:c>
      <x:c r="D73" s="34" t="n">
        <x:f>IF(B73&lt;=$C$5,1,0)</x:f>
        <x:v>0</x:v>
      </x:c>
      <x:c r="E73" s="19" t="n">
        <x:f>$C$7*D73</x:f>
        <x:v>0</x:v>
      </x:c>
      <x:c r="F73" s="19" t="n">
        <x:f>$C$12*D73</x:f>
        <x:v>0</x:v>
      </x:c>
      <x:c r="G73" s="19" t="n">
        <x:f>0</x:f>
        <x:v>0</x:v>
      </x:c>
      <x:c r="H73" s="19" t="n">
        <x:f>$C$13*D73</x:f>
        <x:v>0</x:v>
      </x:c>
      <x:c r="I73" s="19" t="n">
        <x:f>$C$14*D73</x:f>
        <x:v>0</x:v>
      </x:c>
      <x:c r="J73" s="19" t="n">
        <x:f>(E73+F73)*C73</x:f>
        <x:v>0</x:v>
      </x:c>
      <x:c r="K73" s="19" t="n">
        <x:f>(G73+H73+I73)*C73</x:f>
        <x:v>0</x:v>
      </x:c>
      <x:c r="L73" s="19" t="n">
        <x:f>L72+E73*C73-K73</x:f>
        <x:v>-2790.29961521423</x:v>
      </x:c>
      <x:c r="M73" s="19" t="n">
        <x:f>M72+J73-K73</x:f>
        <x:v>-2463.914526267578</x:v>
      </x:c>
    </x:row>
    <x:row r="74" ht="24" customHeight="1">
      <x:c r="A74" s="2"/>
      <x:c r="B74" s="34" t="n">
        <x:f>B73+1</x:f>
        <x:v>49</x:v>
      </x:c>
      <x:c r="C74" s="36" t="n">
        <x:f>IF('Inputs'!$C$7="Constant",(1+'Inputs'!$C$8)^(-B74),(1+'Inputs'!$C$9)^(-MIN(B74,'Inputs'!$C$11))*(1+'Inputs'!$C$10)^(-MAX(B74-'Inputs'!$C$11,0)))</x:f>
        <x:v>0.20318059922125448</x:v>
      </x:c>
      <x:c r="D74" s="34" t="n">
        <x:f>IF(B74&lt;=$C$5,1,0)</x:f>
        <x:v>0</x:v>
      </x:c>
      <x:c r="E74" s="19" t="n">
        <x:f>$C$7*D74</x:f>
        <x:v>0</x:v>
      </x:c>
      <x:c r="F74" s="19" t="n">
        <x:f>$C$12*D74</x:f>
        <x:v>0</x:v>
      </x:c>
      <x:c r="G74" s="19" t="n">
        <x:f>0</x:f>
        <x:v>0</x:v>
      </x:c>
      <x:c r="H74" s="19" t="n">
        <x:f>$C$13*D74</x:f>
        <x:v>0</x:v>
      </x:c>
      <x:c r="I74" s="19" t="n">
        <x:f>$C$14*D74</x:f>
        <x:v>0</x:v>
      </x:c>
      <x:c r="J74" s="19" t="n">
        <x:f>(E74+F74)*C74</x:f>
        <x:v>0</x:v>
      </x:c>
      <x:c r="K74" s="19" t="n">
        <x:f>(G74+H74+I74)*C74</x:f>
        <x:v>0</x:v>
      </x:c>
      <x:c r="L74" s="19" t="n">
        <x:f>L73+E74*C74-K74</x:f>
        <x:v>-2790.29961521423</x:v>
      </x:c>
      <x:c r="M74" s="19" t="n">
        <x:f>M73+J74-K74</x:f>
        <x:v>-2463.914526267578</x:v>
      </x:c>
    </x:row>
    <x:row r="75" ht="24" customHeight="1">
      <x:c r="A75" s="2"/>
      <x:c r="B75" s="34" t="n">
        <x:f>B74+1</x:f>
        <x:v>50</x:v>
      </x:c>
      <x:c r="C75" s="36" t="n">
        <x:f>IF('Inputs'!$C$7="Constant",(1+'Inputs'!$C$8)^(-B75),(1+'Inputs'!$C$9)^(-MIN(B75,'Inputs'!$C$11))*(1+'Inputs'!$C$10)^(-MAX(B75-'Inputs'!$C$11,0)))</x:f>
        <x:v>0.19726271769053833</x:v>
      </x:c>
      <x:c r="D75" s="34" t="n">
        <x:f>IF(B75&lt;=$C$5,1,0)</x:f>
        <x:v>0</x:v>
      </x:c>
      <x:c r="E75" s="19" t="n">
        <x:f>$C$7*D75</x:f>
        <x:v>0</x:v>
      </x:c>
      <x:c r="F75" s="19" t="n">
        <x:f>$C$12*D75</x:f>
        <x:v>0</x:v>
      </x:c>
      <x:c r="G75" s="19" t="n">
        <x:f>0</x:f>
        <x:v>0</x:v>
      </x:c>
      <x:c r="H75" s="19" t="n">
        <x:f>$C$13*D75</x:f>
        <x:v>0</x:v>
      </x:c>
      <x:c r="I75" s="19" t="n">
        <x:f>$C$14*D75</x:f>
        <x:v>0</x:v>
      </x:c>
      <x:c r="J75" s="19" t="n">
        <x:f>(E75+F75)*C75</x:f>
        <x:v>0</x:v>
      </x:c>
      <x:c r="K75" s="19" t="n">
        <x:f>(G75+H75+I75)*C75</x:f>
        <x:v>0</x:v>
      </x:c>
      <x:c r="L75" s="19" t="n">
        <x:f>L74+E75*C75-K75</x:f>
        <x:v>-2790.29961521423</x:v>
      </x:c>
      <x:c r="M75" s="19" t="n">
        <x:f>M74+J75-K75</x:f>
        <x:v>-2463.914526267578</x:v>
      </x:c>
    </x:row>
    <x:row r="76" ht="24" customHeight="1">
      <x:c r="A76" s="2"/>
      <x:c r="B76" s="34" t="n">
        <x:f>B75+1</x:f>
        <x:v>51</x:v>
      </x:c>
      <x:c r="C76" s="36" t="n">
        <x:f>IF('Inputs'!$C$7="Constant",(1+'Inputs'!$C$8)^(-B76),(1+'Inputs'!$C$9)^(-MIN(B76,'Inputs'!$C$11))*(1+'Inputs'!$C$10)^(-MAX(B76-'Inputs'!$C$11,0)))</x:f>
        <x:v>0.19151720164129934</x:v>
      </x:c>
      <x:c r="D76" s="34" t="n">
        <x:f>IF(B76&lt;=$C$5,1,0)</x:f>
        <x:v>0</x:v>
      </x:c>
      <x:c r="E76" s="19" t="n">
        <x:f>$C$7*D76</x:f>
        <x:v>0</x:v>
      </x:c>
      <x:c r="F76" s="19" t="n">
        <x:f>$C$12*D76</x:f>
        <x:v>0</x:v>
      </x:c>
      <x:c r="G76" s="19" t="n">
        <x:f>0</x:f>
        <x:v>0</x:v>
      </x:c>
      <x:c r="H76" s="19" t="n">
        <x:f>$C$13*D76</x:f>
        <x:v>0</x:v>
      </x:c>
      <x:c r="I76" s="19" t="n">
        <x:f>$C$14*D76</x:f>
        <x:v>0</x:v>
      </x:c>
      <x:c r="J76" s="19" t="n">
        <x:f>(E76+F76)*C76</x:f>
        <x:v>0</x:v>
      </x:c>
      <x:c r="K76" s="19" t="n">
        <x:f>(G76+H76+I76)*C76</x:f>
        <x:v>0</x:v>
      </x:c>
      <x:c r="L76" s="19" t="n">
        <x:f>L75+E76*C76-K76</x:f>
        <x:v>-2790.29961521423</x:v>
      </x:c>
      <x:c r="M76" s="19" t="n">
        <x:f>M75+J76-K76</x:f>
        <x:v>-2463.914526267578</x:v>
      </x:c>
    </x:row>
    <x:row r="77" ht="24" customHeight="1">
      <x:c r="A77" s="2"/>
      <x:c r="B77" s="34" t="n">
        <x:f>B76+1</x:f>
        <x:v>52</x:v>
      </x:c>
      <x:c r="C77" s="36" t="n">
        <x:f>IF('Inputs'!$C$7="Constant",(1+'Inputs'!$C$8)^(-B77),(1+'Inputs'!$C$9)^(-MIN(B77,'Inputs'!$C$11))*(1+'Inputs'!$C$10)^(-MAX(B77-'Inputs'!$C$11,0)))</x:f>
        <x:v>0.1859390307197081</x:v>
      </x:c>
      <x:c r="D77" s="34" t="n">
        <x:f>IF(B77&lt;=$C$5,1,0)</x:f>
        <x:v>0</x:v>
      </x:c>
      <x:c r="E77" s="19" t="n">
        <x:f>$C$7*D77</x:f>
        <x:v>0</x:v>
      </x:c>
      <x:c r="F77" s="19" t="n">
        <x:f>$C$12*D77</x:f>
        <x:v>0</x:v>
      </x:c>
      <x:c r="G77" s="19" t="n">
        <x:f>0</x:f>
        <x:v>0</x:v>
      </x:c>
      <x:c r="H77" s="19" t="n">
        <x:f>$C$13*D77</x:f>
        <x:v>0</x:v>
      </x:c>
      <x:c r="I77" s="19" t="n">
        <x:f>$C$14*D77</x:f>
        <x:v>0</x:v>
      </x:c>
      <x:c r="J77" s="19" t="n">
        <x:f>(E77+F77)*C77</x:f>
        <x:v>0</x:v>
      </x:c>
      <x:c r="K77" s="19" t="n">
        <x:f>(G77+H77+I77)*C77</x:f>
        <x:v>0</x:v>
      </x:c>
      <x:c r="L77" s="19" t="n">
        <x:f>L76+E77*C77-K77</x:f>
        <x:v>-2790.29961521423</x:v>
      </x:c>
      <x:c r="M77" s="19" t="n">
        <x:f>M76+J77-K77</x:f>
        <x:v>-2463.914526267578</x:v>
      </x:c>
    </x:row>
    <x:row r="78" ht="24" customHeight="1">
      <x:c r="A78" s="2"/>
      <x:c r="B78" s="34" t="n">
        <x:f>B77+1</x:f>
        <x:v>53</x:v>
      </x:c>
      <x:c r="C78" s="36" t="n">
        <x:f>IF('Inputs'!$C$7="Constant",(1+'Inputs'!$C$8)^(-B78),(1+'Inputs'!$C$9)^(-MIN(B78,'Inputs'!$C$11))*(1+'Inputs'!$C$10)^(-MAX(B78-'Inputs'!$C$11,0)))</x:f>
        <x:v>0.1805233307958331</x:v>
      </x:c>
      <x:c r="D78" s="34" t="n">
        <x:f>IF(B78&lt;=$C$5,1,0)</x:f>
        <x:v>0</x:v>
      </x:c>
      <x:c r="E78" s="19" t="n">
        <x:f>$C$7*D78</x:f>
        <x:v>0</x:v>
      </x:c>
      <x:c r="F78" s="19" t="n">
        <x:f>$C$12*D78</x:f>
        <x:v>0</x:v>
      </x:c>
      <x:c r="G78" s="19" t="n">
        <x:f>0</x:f>
        <x:v>0</x:v>
      </x:c>
      <x:c r="H78" s="19" t="n">
        <x:f>$C$13*D78</x:f>
        <x:v>0</x:v>
      </x:c>
      <x:c r="I78" s="19" t="n">
        <x:f>$C$14*D78</x:f>
        <x:v>0</x:v>
      </x:c>
      <x:c r="J78" s="19" t="n">
        <x:f>(E78+F78)*C78</x:f>
        <x:v>0</x:v>
      </x:c>
      <x:c r="K78" s="19" t="n">
        <x:f>(G78+H78+I78)*C78</x:f>
        <x:v>0</x:v>
      </x:c>
      <x:c r="L78" s="19" t="n">
        <x:f>L77+E78*C78-K78</x:f>
        <x:v>-2790.29961521423</x:v>
      </x:c>
      <x:c r="M78" s="19" t="n">
        <x:f>M77+J78-K78</x:f>
        <x:v>-2463.914526267578</x:v>
      </x:c>
    </x:row>
    <x:row r="79" ht="24" customHeight="1">
      <x:c r="A79" s="2"/>
      <x:c r="B79" s="34" t="n">
        <x:f>B78+1</x:f>
        <x:v>54</x:v>
      </x:c>
      <x:c r="C79" s="36" t="n">
        <x:f>IF('Inputs'!$C$7="Constant",(1+'Inputs'!$C$8)^(-B79),(1+'Inputs'!$C$9)^(-MIN(B79,'Inputs'!$C$11))*(1+'Inputs'!$C$10)^(-MAX(B79-'Inputs'!$C$11,0)))</x:f>
        <x:v>0.1752653697046923</x:v>
      </x:c>
      <x:c r="D79" s="34" t="n">
        <x:f>IF(B79&lt;=$C$5,1,0)</x:f>
        <x:v>0</x:v>
      </x:c>
      <x:c r="E79" s="19" t="n">
        <x:f>$C$7*D79</x:f>
        <x:v>0</x:v>
      </x:c>
      <x:c r="F79" s="19" t="n">
        <x:f>$C$12*D79</x:f>
        <x:v>0</x:v>
      </x:c>
      <x:c r="G79" s="19" t="n">
        <x:f>0</x:f>
        <x:v>0</x:v>
      </x:c>
      <x:c r="H79" s="19" t="n">
        <x:f>$C$13*D79</x:f>
        <x:v>0</x:v>
      </x:c>
      <x:c r="I79" s="19" t="n">
        <x:f>$C$14*D79</x:f>
        <x:v>0</x:v>
      </x:c>
      <x:c r="J79" s="19" t="n">
        <x:f>(E79+F79)*C79</x:f>
        <x:v>0</x:v>
      </x:c>
      <x:c r="K79" s="19" t="n">
        <x:f>(G79+H79+I79)*C79</x:f>
        <x:v>0</x:v>
      </x:c>
      <x:c r="L79" s="19" t="n">
        <x:f>L78+E79*C79-K79</x:f>
        <x:v>-2790.29961521423</x:v>
      </x:c>
      <x:c r="M79" s="19" t="n">
        <x:f>M78+J79-K79</x:f>
        <x:v>-2463.914526267578</x:v>
      </x:c>
    </x:row>
    <x:row r="80" ht="24" customHeight="1">
      <x:c r="A80" s="2"/>
      <x:c r="B80" s="34" t="n">
        <x:f>B79+1</x:f>
        <x:v>55</x:v>
      </x:c>
      <x:c r="C80" s="36" t="n">
        <x:f>IF('Inputs'!$C$7="Constant",(1+'Inputs'!$C$8)^(-B80),(1+'Inputs'!$C$9)^(-MIN(B80,'Inputs'!$C$11))*(1+'Inputs'!$C$10)^(-MAX(B80-'Inputs'!$C$11,0)))</x:f>
        <x:v>0.17016055311135175</x:v>
      </x:c>
      <x:c r="D80" s="34" t="n">
        <x:f>IF(B80&lt;=$C$5,1,0)</x:f>
        <x:v>0</x:v>
      </x:c>
      <x:c r="E80" s="19" t="n">
        <x:f>$C$7*D80</x:f>
        <x:v>0</x:v>
      </x:c>
      <x:c r="F80" s="19" t="n">
        <x:f>$C$12*D80</x:f>
        <x:v>0</x:v>
      </x:c>
      <x:c r="G80" s="19" t="n">
        <x:f>0</x:f>
        <x:v>0</x:v>
      </x:c>
      <x:c r="H80" s="19" t="n">
        <x:f>$C$13*D80</x:f>
        <x:v>0</x:v>
      </x:c>
      <x:c r="I80" s="19" t="n">
        <x:f>$C$14*D80</x:f>
        <x:v>0</x:v>
      </x:c>
      <x:c r="J80" s="19" t="n">
        <x:f>(E80+F80)*C80</x:f>
        <x:v>0</x:v>
      </x:c>
      <x:c r="K80" s="19" t="n">
        <x:f>(G80+H80+I80)*C80</x:f>
        <x:v>0</x:v>
      </x:c>
      <x:c r="L80" s="19" t="n">
        <x:f>L79+E80*C80-K80</x:f>
        <x:v>-2790.29961521423</x:v>
      </x:c>
      <x:c r="M80" s="19" t="n">
        <x:f>M79+J80-K80</x:f>
        <x:v>-2463.914526267578</x:v>
      </x:c>
    </x:row>
    <x:row r="81" ht="24" customHeight="1">
      <x:c r="A81" s="2"/>
      <x:c r="B81" s="34" t="n">
        <x:f>B80+1</x:f>
        <x:v>56</x:v>
      </x:c>
      <x:c r="C81" s="36" t="n">
        <x:f>IF('Inputs'!$C$7="Constant",(1+'Inputs'!$C$8)^(-B81),(1+'Inputs'!$C$9)^(-MIN(B81,'Inputs'!$C$11))*(1+'Inputs'!$C$10)^(-MAX(B81-'Inputs'!$C$11,0)))</x:f>
        <x:v>0.165204420496458</x:v>
      </x:c>
      <x:c r="D81" s="34" t="n">
        <x:f>IF(B81&lt;=$C$5,1,0)</x:f>
        <x:v>0</x:v>
      </x:c>
      <x:c r="E81" s="19" t="n">
        <x:f>$C$7*D81</x:f>
        <x:v>0</x:v>
      </x:c>
      <x:c r="F81" s="19" t="n">
        <x:f>$C$12*D81</x:f>
        <x:v>0</x:v>
      </x:c>
      <x:c r="G81" s="19" t="n">
        <x:f>0</x:f>
        <x:v>0</x:v>
      </x:c>
      <x:c r="H81" s="19" t="n">
        <x:f>$C$13*D81</x:f>
        <x:v>0</x:v>
      </x:c>
      <x:c r="I81" s="19" t="n">
        <x:f>$C$14*D81</x:f>
        <x:v>0</x:v>
      </x:c>
      <x:c r="J81" s="19" t="n">
        <x:f>(E81+F81)*C81</x:f>
        <x:v>0</x:v>
      </x:c>
      <x:c r="K81" s="19" t="n">
        <x:f>(G81+H81+I81)*C81</x:f>
        <x:v>0</x:v>
      </x:c>
      <x:c r="L81" s="19" t="n">
        <x:f>L80+E81*C81-K81</x:f>
        <x:v>-2790.29961521423</x:v>
      </x:c>
      <x:c r="M81" s="19" t="n">
        <x:f>M80+J81-K81</x:f>
        <x:v>-2463.914526267578</x:v>
      </x:c>
    </x:row>
    <x:row r="82" ht="24" customHeight="1">
      <x:c r="A82" s="2"/>
      <x:c r="B82" s="34" t="n">
        <x:f>B81+1</x:f>
        <x:v>57</x:v>
      </x:c>
      <x:c r="C82" s="36" t="n">
        <x:f>IF('Inputs'!$C$7="Constant",(1+'Inputs'!$C$8)^(-B82),(1+'Inputs'!$C$9)^(-MIN(B82,'Inputs'!$C$11))*(1+'Inputs'!$C$10)^(-MAX(B82-'Inputs'!$C$11,0)))</x:f>
        <x:v>0.1603926412586971</x:v>
      </x:c>
      <x:c r="D82" s="34" t="n">
        <x:f>IF(B82&lt;=$C$5,1,0)</x:f>
        <x:v>0</x:v>
      </x:c>
      <x:c r="E82" s="19" t="n">
        <x:f>$C$7*D82</x:f>
        <x:v>0</x:v>
      </x:c>
      <x:c r="F82" s="19" t="n">
        <x:f>$C$12*D82</x:f>
        <x:v>0</x:v>
      </x:c>
      <x:c r="G82" s="19" t="n">
        <x:f>0</x:f>
        <x:v>0</x:v>
      </x:c>
      <x:c r="H82" s="19" t="n">
        <x:f>$C$13*D82</x:f>
        <x:v>0</x:v>
      </x:c>
      <x:c r="I82" s="19" t="n">
        <x:f>$C$14*D82</x:f>
        <x:v>0</x:v>
      </x:c>
      <x:c r="J82" s="19" t="n">
        <x:f>(E82+F82)*C82</x:f>
        <x:v>0</x:v>
      </x:c>
      <x:c r="K82" s="19" t="n">
        <x:f>(G82+H82+I82)*C82</x:f>
        <x:v>0</x:v>
      </x:c>
      <x:c r="L82" s="19" t="n">
        <x:f>L81+E82*C82-K82</x:f>
        <x:v>-2790.29961521423</x:v>
      </x:c>
      <x:c r="M82" s="19" t="n">
        <x:f>M81+J82-K82</x:f>
        <x:v>-2463.914526267578</x:v>
      </x:c>
    </x:row>
    <x:row r="83" ht="24" customHeight="1">
      <x:c r="A83" s="2"/>
      <x:c r="B83" s="34" t="n">
        <x:f>B82+1</x:f>
        <x:v>58</x:v>
      </x:c>
      <x:c r="C83" s="36" t="n">
        <x:f>IF('Inputs'!$C$7="Constant",(1+'Inputs'!$C$8)^(-B83),(1+'Inputs'!$C$9)^(-MIN(B83,'Inputs'!$C$11))*(1+'Inputs'!$C$10)^(-MAX(B83-'Inputs'!$C$11,0)))</x:f>
        <x:v>0.15572101093077387</x:v>
      </x:c>
      <x:c r="D83" s="34" t="n">
        <x:f>IF(B83&lt;=$C$5,1,0)</x:f>
        <x:v>0</x:v>
      </x:c>
      <x:c r="E83" s="19" t="n">
        <x:f>$C$7*D83</x:f>
        <x:v>0</x:v>
      </x:c>
      <x:c r="F83" s="19" t="n">
        <x:f>$C$12*D83</x:f>
        <x:v>0</x:v>
      </x:c>
      <x:c r="G83" s="19" t="n">
        <x:f>0</x:f>
        <x:v>0</x:v>
      </x:c>
      <x:c r="H83" s="19" t="n">
        <x:f>$C$13*D83</x:f>
        <x:v>0</x:v>
      </x:c>
      <x:c r="I83" s="19" t="n">
        <x:f>$C$14*D83</x:f>
        <x:v>0</x:v>
      </x:c>
      <x:c r="J83" s="19" t="n">
        <x:f>(E83+F83)*C83</x:f>
        <x:v>0</x:v>
      </x:c>
      <x:c r="K83" s="19" t="n">
        <x:f>(G83+H83+I83)*C83</x:f>
        <x:v>0</x:v>
      </x:c>
      <x:c r="L83" s="19" t="n">
        <x:f>L82+E83*C83-K83</x:f>
        <x:v>-2790.29961521423</x:v>
      </x:c>
      <x:c r="M83" s="19" t="n">
        <x:f>M82+J83-K83</x:f>
        <x:v>-2463.914526267578</x:v>
      </x:c>
    </x:row>
    <x:row r="84" ht="24" customHeight="1">
      <x:c r="A84" s="2"/>
      <x:c r="B84" s="34" t="n">
        <x:f>B83+1</x:f>
        <x:v>59</x:v>
      </x:c>
      <x:c r="C84" s="36" t="n">
        <x:f>IF('Inputs'!$C$7="Constant",(1+'Inputs'!$C$8)^(-B84),(1+'Inputs'!$C$9)^(-MIN(B84,'Inputs'!$C$11))*(1+'Inputs'!$C$10)^(-MAX(B84-'Inputs'!$C$11,0)))</x:f>
        <x:v>0.1511854475056057</x:v>
      </x:c>
      <x:c r="D84" s="34" t="n">
        <x:f>IF(B84&lt;=$C$5,1,0)</x:f>
        <x:v>0</x:v>
      </x:c>
      <x:c r="E84" s="19" t="n">
        <x:f>$C$7*D84</x:f>
        <x:v>0</x:v>
      </x:c>
      <x:c r="F84" s="19" t="n">
        <x:f>$C$12*D84</x:f>
        <x:v>0</x:v>
      </x:c>
      <x:c r="G84" s="19" t="n">
        <x:f>0</x:f>
        <x:v>0</x:v>
      </x:c>
      <x:c r="H84" s="19" t="n">
        <x:f>$C$13*D84</x:f>
        <x:v>0</x:v>
      </x:c>
      <x:c r="I84" s="19" t="n">
        <x:f>$C$14*D84</x:f>
        <x:v>0</x:v>
      </x:c>
      <x:c r="J84" s="19" t="n">
        <x:f>(E84+F84)*C84</x:f>
        <x:v>0</x:v>
      </x:c>
      <x:c r="K84" s="19" t="n">
        <x:f>(G84+H84+I84)*C84</x:f>
        <x:v>0</x:v>
      </x:c>
      <x:c r="L84" s="19" t="n">
        <x:f>L83+E84*C84-K84</x:f>
        <x:v>-2790.29961521423</x:v>
      </x:c>
      <x:c r="M84" s="19" t="n">
        <x:f>M83+J84-K84</x:f>
        <x:v>-2463.914526267578</x:v>
      </x:c>
    </x:row>
    <x:row r="85" ht="24" customHeight="1">
      <x:c r="A85" s="2"/>
      <x:c r="B85" s="34" t="n">
        <x:f>B84+1</x:f>
        <x:v>60</x:v>
      </x:c>
      <x:c r="C85" s="36" t="n">
        <x:f>IF('Inputs'!$C$7="Constant",(1+'Inputs'!$C$8)^(-B85),(1+'Inputs'!$C$9)^(-MIN(B85,'Inputs'!$C$11))*(1+'Inputs'!$C$10)^(-MAX(B85-'Inputs'!$C$11,0)))</x:f>
        <x:v>0.1467819878695201</x:v>
      </x:c>
      <x:c r="D85" s="34" t="n">
        <x:f>IF(B85&lt;=$C$5,1,0)</x:f>
        <x:v>0</x:v>
      </x:c>
      <x:c r="E85" s="19" t="n">
        <x:f>$C$7*D85</x:f>
        <x:v>0</x:v>
      </x:c>
      <x:c r="F85" s="19" t="n">
        <x:f>$C$12*D85</x:f>
        <x:v>0</x:v>
      </x:c>
      <x:c r="G85" s="19" t="n">
        <x:f>0</x:f>
        <x:v>0</x:v>
      </x:c>
      <x:c r="H85" s="19" t="n">
        <x:f>$C$13*D85</x:f>
        <x:v>0</x:v>
      </x:c>
      <x:c r="I85" s="19" t="n">
        <x:f>$C$14*D85</x:f>
        <x:v>0</x:v>
      </x:c>
      <x:c r="J85" s="19" t="n">
        <x:f>(E85+F85)*C85</x:f>
        <x:v>0</x:v>
      </x:c>
      <x:c r="K85" s="19" t="n">
        <x:f>(G85+H85+I85)*C85</x:f>
        <x:v>0</x:v>
      </x:c>
      <x:c r="L85" s="19" t="n">
        <x:f>L84+E85*C85-K85</x:f>
        <x:v>-2790.29961521423</x:v>
      </x:c>
      <x:c r="M85" s="19" t="n">
        <x:f>M84+J85-K85</x:f>
        <x:v>-2463.914526267578</x:v>
      </x:c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</x:sheetData>
  <x:conditionalFormatting sqref="B25:M85">
    <x:cfRule type="expression" dxfId="0" priority="1">
      <x:formula>$B25&gt;$C$5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35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9" hidden="0" customWidth="1"/>
    <x:col min="13" max="13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2"/>
      <x:c r="B2" s="3" t="str">
        <x:v>Option 2: Farmland two-line upgrade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/>
      <x:c r="B3" s="4" t="str">
        <x:v>Money: $ million, real 2025 USD. Electricity and emissions are conditional estimates.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A5" s="2"/>
      <x:c r="B5" s="19" t="str">
        <x:v>Appraisal horizon</x:v>
      </x:c>
      <x:c r="C5" s="22" t="n">
        <x:f>'Inputs'!C6</x:f>
        <x:v>20</x:v>
      </x:c>
      <x:c r="D5" s="2"/>
      <x:c r="E5" s="32"/>
      <x:c r="F5" s="32"/>
      <x:c r="G5" s="32"/>
      <x:c r="H5" s="32"/>
      <x:c r="I5" s="32"/>
      <x:c r="J5" s="32"/>
      <x:c r="K5" s="32"/>
      <x:c r="L5" s="32"/>
      <x:c r="M5" s="32"/>
    </x:row>
    <x:row r="6" ht="24" customHeight="1">
      <x:c r="A6" s="2"/>
      <x:c r="B6" s="19" t="str">
        <x:v>Capex in common prices</x:v>
      </x:c>
      <x:c r="C6" s="20" t="n">
        <x:f>'Inputs'!D25/(1+'Inputs'!$C$12)^('Inputs'!D26-'Inputs'!$C$13)</x:f>
        <x:v>64.32249578078262</x:v>
      </x:c>
      <x:c r="D6" s="2"/>
      <x:c r="E6" s="32" t="str">
        <x:v>Selected capex (2025 USD)</x:v>
      </x:c>
      <x:c r="F6" s="32"/>
      <x:c r="G6" s="32"/>
      <x:c r="H6" s="32"/>
      <x:c r="I6" s="32"/>
      <x:c r="J6" s="32"/>
      <x:c r="K6" s="32"/>
      <x:c r="L6" s="32"/>
      <x:c r="M6" s="32"/>
    </x:row>
    <x:row r="7" ht="24" customHeight="1">
      <x:c r="A7" s="2"/>
      <x:c r="B7" s="19" t="str">
        <x:v>Annual production savings</x:v>
      </x:c>
      <x:c r="C7" s="20" t="n">
        <x:f>'Inputs'!D27/(1+'Inputs'!$C$12)^('Inputs'!D28-'Inputs'!$C$13)</x:f>
        <x:v>5.018966572190644</x:v>
      </x:c>
      <x:c r="D7" s="2"/>
      <x:c r="E7" s="32" t="str">
        <x:v>Annual production savings (2025 USD)</x:v>
      </x:c>
      <x:c r="F7" s="32"/>
      <x:c r="G7" s="32"/>
      <x:c r="H7" s="32"/>
      <x:c r="I7" s="32"/>
      <x:c r="J7" s="32"/>
      <x:c r="K7" s="32"/>
      <x:c r="L7" s="32"/>
      <x:c r="M7" s="32"/>
    </x:row>
    <x:row r="8" ht="24" customHeight="1">
      <x:c r="A8" s="2"/>
      <x:c r="B8" s="19" t="str">
        <x:v>Gas marginal cost ($/MWh)</x:v>
      </x:c>
      <x:c r="C8" s="23" t="n">
        <x:f>'Inputs'!C17*'Inputs'!C18+'Inputs'!C19</x:f>
        <x:v>29.01383221136717</x:v>
      </x:c>
      <x:c r="D8" s="2"/>
      <x:c r="E8" s="32" t="str">
        <x:v>Gas price × heat rate + variable O&amp;M</x:v>
      </x:c>
      <x:c r="F8" s="32"/>
      <x:c r="G8" s="32"/>
      <x:c r="H8" s="32"/>
      <x:c r="I8" s="32"/>
      <x:c r="J8" s="32"/>
      <x:c r="K8" s="32"/>
      <x:c r="L8" s="32"/>
      <x:c r="M8" s="32"/>
    </x:row>
    <x:row r="9" ht="24" customHeight="1">
      <x:c r="A9" s="2"/>
      <x:c r="B9" s="19" t="str">
        <x:v>Additional renewables (MWh/year)</x:v>
      </x:c>
      <x:c r="C9" s="24" t="n">
        <x:f>C7*1000000*'Inputs'!C14/C8</x:f>
        <x:v>86492.65177428529</x:v>
      </x:c>
      <x:c r="D9" s="2"/>
      <x:c r="E9" s="32" t="str">
        <x:v>Savings × assumed share / gas marginal cost</x:v>
      </x:c>
      <x:c r="F9" s="32"/>
      <x:c r="G9" s="32"/>
      <x:c r="H9" s="32"/>
      <x:c r="I9" s="32"/>
      <x:c r="J9" s="32"/>
      <x:c r="K9" s="32"/>
      <x:c r="L9" s="32"/>
      <x:c r="M9" s="32"/>
    </x:row>
    <x:row r="10" ht="24" customHeight="1">
      <x:c r="A10" s="2"/>
      <x:c r="B10" s="19" t="str">
        <x:v>Gas fuel avoided (MMBtu/year)</x:v>
      </x:c>
      <x:c r="C10" s="24" t="n">
        <x:f>C9*'Inputs'!C18</x:f>
        <x:v>652846.5355923054</x:v>
      </x:c>
      <x:c r="D10" s="2"/>
      <x:c r="E10" s="32" t="str">
        <x:v>Displaced gas MWh × heat rate</x:v>
      </x:c>
      <x:c r="F10" s="32"/>
      <x:c r="G10" s="32"/>
      <x:c r="H10" s="32"/>
      <x:c r="I10" s="32"/>
      <x:c r="J10" s="32"/>
      <x:c r="K10" s="32"/>
      <x:c r="L10" s="32"/>
      <x:c r="M10" s="32"/>
    </x:row>
    <x:row r="11" ht="24" customHeight="1">
      <x:c r="A11" s="2"/>
      <x:c r="B11" s="19" t="str">
        <x:v>CO2 avoided (tonnes/year)</x:v>
      </x:c>
      <x:c r="C11" s="24" t="n">
        <x:f>C10*'Inputs'!C20/1000</x:f>
        <x:v>34542.11019818887</x:v>
      </x:c>
      <x:c r="D11" s="2"/>
      <x:c r="E11" s="32" t="str">
        <x:v>Gas fuel × emissions coefficient / 1,000</x:v>
      </x:c>
      <x:c r="F11" s="32"/>
      <x:c r="G11" s="32"/>
      <x:c r="H11" s="32"/>
      <x:c r="I11" s="32"/>
      <x:c r="J11" s="32"/>
      <x:c r="K11" s="32"/>
      <x:c r="L11" s="32"/>
      <x:c r="M11" s="32"/>
    </x:row>
    <x:row r="12" ht="24" customHeight="1">
      <x:c r="A12" s="2"/>
      <x:c r="B12" s="19" t="str">
        <x:v>Annual climate benefit</x:v>
      </x:c>
      <x:c r="C12" s="20" t="n">
        <x:f>C11*'Inputs'!C15/1000000</x:f>
        <x:v>3.1264981735043107</x:v>
      </x:c>
      <x:c r="D12" s="2"/>
      <x:c r="E12" s="32" t="str">
        <x:v>CO2 × damage value / 1,000,000</x:v>
      </x:c>
      <x:c r="F12" s="32"/>
      <x:c r="G12" s="32"/>
      <x:c r="H12" s="32"/>
      <x:c r="I12" s="32"/>
      <x:c r="J12" s="32"/>
      <x:c r="K12" s="32"/>
      <x:c r="L12" s="32"/>
      <x:c r="M12" s="32"/>
    </x:row>
    <x:row r="13" ht="24" customHeight="1">
      <x:c r="A13" s="2"/>
      <x:c r="B13" s="19" t="str">
        <x:v>Annual transmission O&amp;M</x:v>
      </x:c>
      <x:c r="C13" s="20" t="n">
        <x:f>C6*'Inputs'!C16</x:f>
        <x:v>0.6432249578078262</x:v>
      </x:c>
      <x:c r="D13" s="2"/>
      <x:c r="E13" s="32"/>
      <x:c r="F13" s="32"/>
      <x:c r="G13" s="32"/>
      <x:c r="H13" s="32"/>
      <x:c r="I13" s="32"/>
      <x:c r="J13" s="32"/>
      <x:c r="K13" s="32"/>
      <x:c r="L13" s="32"/>
      <x:c r="M13" s="32"/>
    </x:row>
    <x:row r="14" ht="24" customHeight="1">
      <x:c r="A14" s="2"/>
      <x:c r="B14" s="19" t="str">
        <x:v>Annual additional net harm</x:v>
      </x:c>
      <x:c r="C14" s="20" t="n">
        <x:f>'Inputs'!D29</x:f>
        <x:v>0</x:v>
      </x:c>
      <x:c r="D14" s="2"/>
      <x:c r="E14" s="32"/>
      <x:c r="F14" s="32"/>
      <x:c r="G14" s="32"/>
      <x:c r="H14" s="32"/>
      <x:c r="I14" s="32"/>
      <x:c r="J14" s="32"/>
      <x:c r="K14" s="32"/>
      <x:c r="L14" s="32"/>
      <x:c r="M14" s="32"/>
    </x:row>
    <x:row r="15" ht="24" customHeight="1">
      <x:c r="A15" s="2"/>
      <x:c r="B15" s="28" t="str">
        <x:v>NPV excluding climate</x:v>
      </x:c>
      <x:c r="C15" s="29" t="n">
        <x:f>L85</x:f>
        <x:v>-2.132691212038173</x:v>
      </x:c>
      <x:c r="D15" s="2"/>
      <x:c r="E15" s="32"/>
      <x:c r="F15" s="32"/>
      <x:c r="G15" s="32"/>
      <x:c r="H15" s="32"/>
      <x:c r="I15" s="32"/>
      <x:c r="J15" s="32"/>
      <x:c r="K15" s="32"/>
      <x:c r="L15" s="32"/>
      <x:c r="M15" s="32"/>
    </x:row>
    <x:row r="16" ht="24" customHeight="1">
      <x:c r="A16" s="2"/>
      <x:c r="B16" s="28" t="str">
        <x:v>NPV including climate</x:v>
      </x:c>
      <x:c r="C16" s="29" t="n">
        <x:f>M85</x:f>
        <x:v>42.302361752622346</x:v>
      </x:c>
      <x:c r="D16" s="2"/>
      <x:c r="E16" s="32"/>
      <x:c r="F16" s="32"/>
      <x:c r="G16" s="32"/>
      <x:c r="H16" s="32"/>
      <x:c r="I16" s="32"/>
      <x:c r="J16" s="32"/>
      <x:c r="K16" s="32"/>
      <x:c r="L16" s="32"/>
      <x:c r="M16" s="32"/>
    </x:row>
    <x:row r="17" ht="24" customHeight="1">
      <x:c r="A17" s="2"/>
      <x:c r="B17" s="28" t="str">
        <x:v>B/C including climate</x:v>
      </x:c>
      <x:c r="C17" s="31" t="n">
        <x:f>SUM(J25:J85)/SUM(K25:K85)</x:f>
        <x:v>1.5758222702598523</x:v>
      </x:c>
      <x:c r="D17" s="2"/>
      <x:c r="E17" s="32"/>
      <x:c r="F17" s="32"/>
      <x:c r="G17" s="32"/>
      <x:c r="H17" s="32"/>
      <x:c r="I17" s="32"/>
      <x:c r="J17" s="32"/>
      <x:c r="K17" s="32"/>
      <x:c r="L17" s="32"/>
      <x:c r="M17" s="32"/>
    </x:row>
    <x:row r="18" ht="24" customHeight="1">
      <x:c r="A18" s="2"/>
      <x:c r="B18" s="19" t="str">
        <x:v>Total cost PV</x:v>
      </x:c>
      <x:c r="C18" s="21" t="n">
        <x:f>SUM(K25:K85)</x:f>
        <x:v>73.4642682950287</x:v>
      </x:c>
      <x:c r="D18" s="2"/>
      <x:c r="E18" s="32"/>
      <x:c r="F18" s="32"/>
      <x:c r="G18" s="32"/>
      <x:c r="H18" s="32"/>
      <x:c r="I18" s="32"/>
      <x:c r="J18" s="32"/>
      <x:c r="K18" s="32"/>
      <x:c r="L18" s="32"/>
      <x:c r="M18" s="32"/>
    </x:row>
    <x:row r="19" ht="24" customHeight="1">
      <x:c r="A19" s="2"/>
      <x:c r="B19" s="19" t="str">
        <x:v>Production savings PV</x:v>
      </x:c>
      <x:c r="C19" s="21" t="n">
        <x:f>SUMPRODUCT(C25:C85,E25:E85)</x:f>
        <x:v>71.33157708299052</x:v>
      </x:c>
      <x:c r="D19" s="2"/>
      <x:c r="E19" s="32"/>
      <x:c r="F19" s="32"/>
      <x:c r="G19" s="32"/>
      <x:c r="H19" s="32"/>
      <x:c r="I19" s="32"/>
      <x:c r="J19" s="32"/>
      <x:c r="K19" s="32"/>
      <x:c r="L19" s="32"/>
      <x:c r="M19" s="32"/>
    </x:row>
    <x:row r="20" ht="24" customHeight="1">
      <x:c r="A20" s="2"/>
      <x:c r="B20" s="19" t="str">
        <x:v>Climate benefits PV</x:v>
      </x:c>
      <x:c r="C20" s="21" t="n">
        <x:f>SUMPRODUCT(C25:C85,F25:F85)</x:f>
        <x:v>44.43505296466051</x:v>
      </x:c>
      <x:c r="D20" s="2"/>
      <x:c r="E20" s="32"/>
      <x:c r="F20" s="32"/>
      <x:c r="G20" s="32"/>
      <x:c r="H20" s="32"/>
      <x:c r="I20" s="32"/>
      <x:c r="J20" s="32"/>
      <x:c r="K20" s="32"/>
      <x:c r="L20" s="32"/>
      <x:c r="M20" s="3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36" customHeight="1">
      <x:c r="A24" s="2"/>
      <x:c r="B24" s="33" t="str">
        <x:v>Year</x:v>
      </x:c>
      <x:c r="C24" s="33" t="str">
        <x:v>Discount factor</x:v>
      </x:c>
      <x:c r="D24" s="33" t="str">
        <x:v>Included</x:v>
      </x:c>
      <x:c r="E24" s="33" t="str">
        <x:v>Production</x:v>
      </x:c>
      <x:c r="F24" s="33" t="str">
        <x:v>Climate</x:v>
      </x:c>
      <x:c r="G24" s="33" t="str">
        <x:v>Capex</x:v>
      </x:c>
      <x:c r="H24" s="33" t="str">
        <x:v>O&amp;M</x:v>
      </x:c>
      <x:c r="I24" s="33" t="str">
        <x:v>Net harm</x:v>
      </x:c>
      <x:c r="J24" s="33" t="str">
        <x:v>Benefit PV</x:v>
      </x:c>
      <x:c r="K24" s="33" t="str">
        <x:v>Cost PV</x:v>
      </x:c>
      <x:c r="L24" s="33" t="str">
        <x:v>NPV no climate</x:v>
      </x:c>
      <x:c r="M24" s="33" t="str">
        <x:v>NPV with climate</x:v>
      </x:c>
    </x:row>
    <x:row r="25" ht="24" customHeight="1">
      <x:c r="A25" s="2"/>
      <x:c r="B25" s="34" t="n">
        <x:f>0</x:f>
        <x:v>0</x:v>
      </x:c>
      <x:c r="C25" s="36" t="n">
        <x:f>IF('Inputs'!$C$7="Constant",(1+'Inputs'!$C$8)^(-B25),(1+'Inputs'!$C$9)^(-MIN(B25,'Inputs'!$C$11))*(1+'Inputs'!$C$10)^(-MAX(B25-'Inputs'!$C$11,0)))</x:f>
        <x:v>1</x:v>
      </x:c>
      <x:c r="D25" s="34" t="n">
        <x:f>IF(B25&lt;=$C$5,1,0)</x:f>
        <x:v>1</x:v>
      </x:c>
      <x:c r="E25" s="19" t="n">
        <x:f>0</x:f>
        <x:v>0</x:v>
      </x:c>
      <x:c r="F25" s="19" t="n">
        <x:f>0</x:f>
        <x:v>0</x:v>
      </x:c>
      <x:c r="G25" s="19" t="n">
        <x:f>$C$6</x:f>
        <x:v>64.32249578078262</x:v>
      </x:c>
      <x:c r="H25" s="19" t="n">
        <x:f>0</x:f>
        <x:v>0</x:v>
      </x:c>
      <x:c r="I25" s="19" t="n">
        <x:f>0</x:f>
        <x:v>0</x:v>
      </x:c>
      <x:c r="J25" s="19" t="n">
        <x:f>(E25+F25)*C25</x:f>
        <x:v>0</x:v>
      </x:c>
      <x:c r="K25" s="19" t="n">
        <x:f>(G25+H25+I25)*C25</x:f>
        <x:v>64.32249578078262</x:v>
      </x:c>
      <x:c r="L25" s="19" t="n">
        <x:f>E25*C25-K25</x:f>
        <x:v>-64.32249578078262</x:v>
      </x:c>
      <x:c r="M25" s="19" t="n">
        <x:f>J25-K25</x:f>
        <x:v>-64.32249578078262</x:v>
      </x:c>
    </x:row>
    <x:row r="26" ht="24" customHeight="1">
      <x:c r="A26" s="2"/>
      <x:c r="B26" s="34" t="n">
        <x:f>B25+1</x:f>
        <x:v>1</x:v>
      </x:c>
      <x:c r="C26" s="36" t="n">
        <x:f>IF('Inputs'!$C$7="Constant",(1+'Inputs'!$C$8)^(-B26),(1+'Inputs'!$C$9)^(-MIN(B26,'Inputs'!$C$11))*(1+'Inputs'!$C$10)^(-MAX(B26-'Inputs'!$C$11,0)))</x:f>
        <x:v>0.9661835748792271</x:v>
      </x:c>
      <x:c r="D26" s="34" t="n">
        <x:f>IF(B26&lt;=$C$5,1,0)</x:f>
        <x:v>1</x:v>
      </x:c>
      <x:c r="E26" s="19" t="n">
        <x:f>$C$7*D26</x:f>
        <x:v>5.018966572190644</x:v>
      </x:c>
      <x:c r="F26" s="19" t="n">
        <x:f>$C$12*D26</x:f>
        <x:v>3.1264981735043107</x:v>
      </x:c>
      <x:c r="G26" s="19" t="n">
        <x:f>0</x:f>
        <x:v>0</x:v>
      </x:c>
      <x:c r="H26" s="19" t="n">
        <x:f>$C$13*D26</x:f>
        <x:v>0.6432249578078262</x:v>
      </x:c>
      <x:c r="I26" s="19" t="n">
        <x:f>$C$14*D26</x:f>
        <x:v>0</x:v>
      </x:c>
      <x:c r="J26" s="19" t="n">
        <x:f>(E26+F26)*C26</x:f>
        <x:v>7.870014247048267</x:v>
      </x:c>
      <x:c r="K26" s="19" t="n">
        <x:f>(G26+H26+I26)*C26</x:f>
        <x:v>0.6214733891863056</x:v>
      </x:c>
      <x:c r="L26" s="19" t="n">
        <x:f>L25+E26*C26-K26</x:f>
        <x:v>-60.09472610505043</x:v>
      </x:c>
      <x:c r="M26" s="19" t="n">
        <x:f>M25+J26-K26</x:f>
        <x:v>-57.073954922920656</x:v>
      </x:c>
    </x:row>
    <x:row r="27" ht="24" customHeight="1">
      <x:c r="A27" s="2"/>
      <x:c r="B27" s="34" t="n">
        <x:f>B26+1</x:f>
        <x:v>2</x:v>
      </x:c>
      <x:c r="C27" s="36" t="n">
        <x:f>IF('Inputs'!$C$7="Constant",(1+'Inputs'!$C$8)^(-B27),(1+'Inputs'!$C$9)^(-MIN(B27,'Inputs'!$C$11))*(1+'Inputs'!$C$10)^(-MAX(B27-'Inputs'!$C$11,0)))</x:f>
        <x:v>0.933510700366403</x:v>
      </x:c>
      <x:c r="D27" s="34" t="n">
        <x:f>IF(B27&lt;=$C$5,1,0)</x:f>
        <x:v>1</x:v>
      </x:c>
      <x:c r="E27" s="19" t="n">
        <x:f>$C$7*D27</x:f>
        <x:v>5.018966572190644</x:v>
      </x:c>
      <x:c r="F27" s="19" t="n">
        <x:f>$C$12*D27</x:f>
        <x:v>3.1264981735043107</x:v>
      </x:c>
      <x:c r="G27" s="19" t="n">
        <x:f>0</x:f>
        <x:v>0</x:v>
      </x:c>
      <x:c r="H27" s="19" t="n">
        <x:f>$C$13*D27</x:f>
        <x:v>0.6432249578078262</x:v>
      </x:c>
      <x:c r="I27" s="19" t="n">
        <x:f>$C$14*D27</x:f>
        <x:v>0</x:v>
      </x:c>
      <x:c r="J27" s="19" t="n">
        <x:f>(E27+F27)*C27</x:f>
        <x:v>7.6038784995635424</x:v>
      </x:c>
      <x:c r="K27" s="19" t="n">
        <x:f>(G27+H27+I27)*C27</x:f>
        <x:v>0.6004573808563338</x:v>
      </x:c>
      <x:c r="L27" s="19" t="n">
        <x:f>L26+E27*C27-K27</x:f>
        <x:v>-56.00992448598551</x:v>
      </x:c>
      <x:c r="M27" s="19" t="n">
        <x:f>M26+J27-K27</x:f>
        <x:v>-50.07053380421345</x:v>
      </x:c>
    </x:row>
    <x:row r="28" ht="24" customHeight="1">
      <x:c r="A28" s="2"/>
      <x:c r="B28" s="34" t="n">
        <x:f>B27+1</x:f>
        <x:v>3</x:v>
      </x:c>
      <x:c r="C28" s="36" t="n">
        <x:f>IF('Inputs'!$C$7="Constant",(1+'Inputs'!$C$8)^(-B28),(1+'Inputs'!$C$9)^(-MIN(B28,'Inputs'!$C$11))*(1+'Inputs'!$C$10)^(-MAX(B28-'Inputs'!$C$11,0)))</x:f>
        <x:v>0.9019427056680224</x:v>
      </x:c>
      <x:c r="D28" s="34" t="n">
        <x:f>IF(B28&lt;=$C$5,1,0)</x:f>
        <x:v>1</x:v>
      </x:c>
      <x:c r="E28" s="19" t="n">
        <x:f>$C$7*D28</x:f>
        <x:v>5.018966572190644</x:v>
      </x:c>
      <x:c r="F28" s="19" t="n">
        <x:f>$C$12*D28</x:f>
        <x:v>3.1264981735043107</x:v>
      </x:c>
      <x:c r="G28" s="19" t="n">
        <x:f>0</x:f>
        <x:v>0</x:v>
      </x:c>
      <x:c r="H28" s="19" t="n">
        <x:f>$C$13*D28</x:f>
        <x:v>0.6432249578078262</x:v>
      </x:c>
      <x:c r="I28" s="19" t="n">
        <x:f>$C$14*D28</x:f>
        <x:v>0</x:v>
      </x:c>
      <x:c r="J28" s="19" t="n">
        <x:f>(E28+F28)*C28</x:f>
        <x:v>7.346742511655598</x:v>
      </x:c>
      <x:c r="K28" s="19" t="n">
        <x:f>(G28+H28+I28)*C28</x:f>
        <x:v>0.5801520587983903</x:v>
      </x:c>
      <x:c r="L28" s="19" t="n">
        <x:f>L27+E28*C28-K28</x:f>
        <x:v>-52.06325625500491</x:v>
      </x:c>
      <x:c r="M28" s="19" t="n">
        <x:f>M27+J28-K28</x:f>
        <x:v>-43.30394335135624</x:v>
      </x:c>
    </x:row>
    <x:row r="29" ht="24" customHeight="1">
      <x:c r="A29" s="2"/>
      <x:c r="B29" s="34" t="n">
        <x:f>B28+1</x:f>
        <x:v>4</x:v>
      </x:c>
      <x:c r="C29" s="36" t="n">
        <x:f>IF('Inputs'!$C$7="Constant",(1+'Inputs'!$C$8)^(-B29),(1+'Inputs'!$C$9)^(-MIN(B29,'Inputs'!$C$11))*(1+'Inputs'!$C$10)^(-MAX(B29-'Inputs'!$C$11,0)))</x:f>
        <x:v>0.8714422276985724</x:v>
      </x:c>
      <x:c r="D29" s="34" t="n">
        <x:f>IF(B29&lt;=$C$5,1,0)</x:f>
        <x:v>1</x:v>
      </x:c>
      <x:c r="E29" s="19" t="n">
        <x:f>$C$7*D29</x:f>
        <x:v>5.018966572190644</x:v>
      </x:c>
      <x:c r="F29" s="19" t="n">
        <x:f>$C$12*D29</x:f>
        <x:v>3.1264981735043107</x:v>
      </x:c>
      <x:c r="G29" s="19" t="n">
        <x:f>0</x:f>
        <x:v>0</x:v>
      </x:c>
      <x:c r="H29" s="19" t="n">
        <x:f>$C$13*D29</x:f>
        <x:v>0.6432249578078262</x:v>
      </x:c>
      <x:c r="I29" s="19" t="n">
        <x:f>$C$14*D29</x:f>
        <x:v>0</x:v>
      </x:c>
      <x:c r="J29" s="19" t="n">
        <x:f>(E29+F29)*C29</x:f>
        <x:v>7.098301943628597</x:v>
      </x:c>
      <x:c r="K29" s="19" t="n">
        <x:f>(G29+H29+I29)*C29</x:f>
        <x:v>0.5605333901433722</x:v>
      </x:c>
      <x:c r="L29" s="19" t="n">
        <x:f>L28+E29*C29-K29</x:f>
        <x:v>-48.2500502347338</x:v>
      </x:c>
      <x:c r="M29" s="19" t="n">
        <x:f>M28+J29-K29</x:f>
        <x:v>-36.76617479787101</x:v>
      </x:c>
    </x:row>
    <x:row r="30" ht="24" customHeight="1">
      <x:c r="A30" s="2"/>
      <x:c r="B30" s="34" t="n">
        <x:f>B29+1</x:f>
        <x:v>5</x:v>
      </x:c>
      <x:c r="C30" s="36" t="n">
        <x:f>IF('Inputs'!$C$7="Constant",(1+'Inputs'!$C$8)^(-B30),(1+'Inputs'!$C$9)^(-MIN(B30,'Inputs'!$C$11))*(1+'Inputs'!$C$10)^(-MAX(B30-'Inputs'!$C$11,0)))</x:f>
        <x:v>0.8419731668585242</x:v>
      </x:c>
      <x:c r="D30" s="34" t="n">
        <x:f>IF(B30&lt;=$C$5,1,0)</x:f>
        <x:v>1</x:v>
      </x:c>
      <x:c r="E30" s="19" t="n">
        <x:f>$C$7*D30</x:f>
        <x:v>5.018966572190644</x:v>
      </x:c>
      <x:c r="F30" s="19" t="n">
        <x:f>$C$12*D30</x:f>
        <x:v>3.1264981735043107</x:v>
      </x:c>
      <x:c r="G30" s="19" t="n">
        <x:f>0</x:f>
        <x:v>0</x:v>
      </x:c>
      <x:c r="H30" s="19" t="n">
        <x:f>$C$13*D30</x:f>
        <x:v>0.6432249578078262</x:v>
      </x:c>
      <x:c r="I30" s="19" t="n">
        <x:f>$C$14*D30</x:f>
        <x:v>0</x:v>
      </x:c>
      <x:c r="J30" s="19" t="n">
        <x:f>(E30+F30)*C30</x:f>
        <x:v>6.858262747467244</x:v>
      </x:c>
      <x:c r="K30" s="19" t="n">
        <x:f>(G30+H30+I30)*C30</x:f>
        <x:v>0.541578154727896</x:v>
      </x:c>
      <x:c r="L30" s="19" t="n">
        <x:f>L29+E30*C30-K30</x:f>
        <x:v>-44.56579321031727</x:v>
      </x:c>
      <x:c r="M30" s="19" t="n">
        <x:f>M29+J30-K30</x:f>
        <x:v>-30.449490205131664</x:v>
      </x:c>
    </x:row>
    <x:row r="31" ht="24" customHeight="1">
      <x:c r="A31" s="2"/>
      <x:c r="B31" s="34" t="n">
        <x:f>B30+1</x:f>
        <x:v>6</x:v>
      </x:c>
      <x:c r="C31" s="36" t="n">
        <x:f>IF('Inputs'!$C$7="Constant",(1+'Inputs'!$C$8)^(-B31),(1+'Inputs'!$C$9)^(-MIN(B31,'Inputs'!$C$11))*(1+'Inputs'!$C$10)^(-MAX(B31-'Inputs'!$C$11,0)))</x:f>
        <x:v>0.8135006443077528</x:v>
      </x:c>
      <x:c r="D31" s="34" t="n">
        <x:f>IF(B31&lt;=$C$5,1,0)</x:f>
        <x:v>1</x:v>
      </x:c>
      <x:c r="E31" s="19" t="n">
        <x:f>$C$7*D31</x:f>
        <x:v>5.018966572190644</x:v>
      </x:c>
      <x:c r="F31" s="19" t="n">
        <x:f>$C$12*D31</x:f>
        <x:v>3.1264981735043107</x:v>
      </x:c>
      <x:c r="G31" s="19" t="n">
        <x:f>0</x:f>
        <x:v>0</x:v>
      </x:c>
      <x:c r="H31" s="19" t="n">
        <x:f>$C$13*D31</x:f>
        <x:v>0.6432249578078262</x:v>
      </x:c>
      <x:c r="I31" s="19" t="n">
        <x:f>$C$14*D31</x:f>
        <x:v>0</x:v>
      </x:c>
      <x:c r="J31" s="19" t="n">
        <x:f>(E31+F31)*C31</x:f>
        <x:v>6.626340818808932</x:v>
      </x:c>
      <x:c r="K31" s="19" t="n">
        <x:f>(G31+H31+I31)*C31</x:f>
        <x:v>0.5232639176114937</x:v>
      </x:c>
      <x:c r="L31" s="19" t="n">
        <x:f>L30+E31*C31-K31</x:f>
        <x:v>-41.0061245876926</x:v>
      </x:c>
      <x:c r="M31" s="19" t="n">
        <x:f>M30+J31-K31</x:f>
        <x:v>-24.346413303934227</x:v>
      </x:c>
    </x:row>
    <x:row r="32" ht="24" customHeight="1">
      <x:c r="A32" s="2"/>
      <x:c r="B32" s="34" t="n">
        <x:f>B31+1</x:f>
        <x:v>7</x:v>
      </x:c>
      <x:c r="C32" s="36" t="n">
        <x:f>IF('Inputs'!$C$7="Constant",(1+'Inputs'!$C$8)^(-B32),(1+'Inputs'!$C$9)^(-MIN(B32,'Inputs'!$C$11))*(1+'Inputs'!$C$10)^(-MAX(B32-'Inputs'!$C$11,0)))</x:f>
        <x:v>0.7859909606838192</x:v>
      </x:c>
      <x:c r="D32" s="34" t="n">
        <x:f>IF(B32&lt;=$C$5,1,0)</x:f>
        <x:v>1</x:v>
      </x:c>
      <x:c r="E32" s="19" t="n">
        <x:f>$C$7*D32</x:f>
        <x:v>5.018966572190644</x:v>
      </x:c>
      <x:c r="F32" s="19" t="n">
        <x:f>$C$12*D32</x:f>
        <x:v>3.1264981735043107</x:v>
      </x:c>
      <x:c r="G32" s="19" t="n">
        <x:f>0</x:f>
        <x:v>0</x:v>
      </x:c>
      <x:c r="H32" s="19" t="n">
        <x:f>$C$13*D32</x:f>
        <x:v>0.6432249578078262</x:v>
      </x:c>
      <x:c r="I32" s="19" t="n">
        <x:f>$C$14*D32</x:f>
        <x:v>0</x:v>
      </x:c>
      <x:c r="J32" s="19" t="n">
        <x:f>(E32+F32)*C32</x:f>
        <x:v>6.402261660684959</x:v>
      </x:c>
      <x:c r="K32" s="19" t="n">
        <x:f>(G32+H32+I32)*C32</x:f>
        <x:v>0.5055690025231824</x:v>
      </x:c>
      <x:c r="L32" s="19" t="n">
        <x:f>L31+E32*C32-K32</x:f>
        <x:v>-37.56683123249968</x:v>
      </x:c>
      <x:c r="M32" s="19" t="n">
        <x:f>M31+J32-K32</x:f>
        <x:v>-18.449720645772448</x:v>
      </x:c>
    </x:row>
    <x:row r="33" ht="24" customHeight="1">
      <x:c r="A33" s="2"/>
      <x:c r="B33" s="34" t="n">
        <x:f>B32+1</x:f>
        <x:v>8</x:v>
      </x:c>
      <x:c r="C33" s="36" t="n">
        <x:f>IF('Inputs'!$C$7="Constant",(1+'Inputs'!$C$8)^(-B33),(1+'Inputs'!$C$9)^(-MIN(B33,'Inputs'!$C$11))*(1+'Inputs'!$C$10)^(-MAX(B33-'Inputs'!$C$11,0)))</x:f>
        <x:v>0.7594115562162506</x:v>
      </x:c>
      <x:c r="D33" s="34" t="n">
        <x:f>IF(B33&lt;=$C$5,1,0)</x:f>
        <x:v>1</x:v>
      </x:c>
      <x:c r="E33" s="19" t="n">
        <x:f>$C$7*D33</x:f>
        <x:v>5.018966572190644</x:v>
      </x:c>
      <x:c r="F33" s="19" t="n">
        <x:f>$C$12*D33</x:f>
        <x:v>3.1264981735043107</x:v>
      </x:c>
      <x:c r="G33" s="19" t="n">
        <x:f>0</x:f>
        <x:v>0</x:v>
      </x:c>
      <x:c r="H33" s="19" t="n">
        <x:f>$C$13*D33</x:f>
        <x:v>0.6432249578078262</x:v>
      </x:c>
      <x:c r="I33" s="19" t="n">
        <x:f>$C$14*D33</x:f>
        <x:v>0</x:v>
      </x:c>
      <x:c r="J33" s="19" t="n">
        <x:f>(E33+F33)*C33</x:f>
        <x:v>6.185760058632812</x:v>
      </x:c>
      <x:c r="K33" s="19" t="n">
        <x:f>(G33+H33+I33)*C33</x:f>
        <x:v>0.4884724662059734</x:v>
      </x:c>
      <x:c r="L33" s="19" t="n">
        <x:f>L32+E33*C33-K33</x:f>
        <x:v>-34.24384248352102</x:v>
      </x:c>
      <x:c r="M33" s="19" t="n">
        <x:f>M32+J33-K33</x:f>
        <x:v>-12.752433053345609</x:v>
      </x:c>
    </x:row>
    <x:row r="34" ht="24" customHeight="1">
      <x:c r="A34" s="2"/>
      <x:c r="B34" s="34" t="n">
        <x:f>B33+1</x:f>
        <x:v>9</x:v>
      </x:c>
      <x:c r="C34" s="36" t="n">
        <x:f>IF('Inputs'!$C$7="Constant",(1+'Inputs'!$C$8)^(-B34),(1+'Inputs'!$C$9)^(-MIN(B34,'Inputs'!$C$11))*(1+'Inputs'!$C$10)^(-MAX(B34-'Inputs'!$C$11,0)))</x:f>
        <x:v>0.7337309721896141</x:v>
      </x:c>
      <x:c r="D34" s="34" t="n">
        <x:f>IF(B34&lt;=$C$5,1,0)</x:f>
        <x:v>1</x:v>
      </x:c>
      <x:c r="E34" s="19" t="n">
        <x:f>$C$7*D34</x:f>
        <x:v>5.018966572190644</x:v>
      </x:c>
      <x:c r="F34" s="19" t="n">
        <x:f>$C$12*D34</x:f>
        <x:v>3.1264981735043107</x:v>
      </x:c>
      <x:c r="G34" s="19" t="n">
        <x:f>0</x:f>
        <x:v>0</x:v>
      </x:c>
      <x:c r="H34" s="19" t="n">
        <x:f>$C$13*D34</x:f>
        <x:v>0.6432249578078262</x:v>
      </x:c>
      <x:c r="I34" s="19" t="n">
        <x:f>$C$14*D34</x:f>
        <x:v>0</x:v>
      </x:c>
      <x:c r="J34" s="19" t="n">
        <x:f>(E34+F34)*C34</x:f>
        <x:v>5.976579766794988</x:v>
      </x:c>
      <x:c r="K34" s="19" t="n">
        <x:f>(G34+H34+I34)*C34</x:f>
        <x:v>0.47195407362895986</x:v>
      </x:c>
      <x:c r="L34" s="19" t="n">
        <x:f>L33+E34*C34-K34</x:f>
        <x:v>-31.033225334749364</x:v>
      </x:c>
      <x:c r="M34" s="19" t="n">
        <x:f>M33+J34-K34</x:f>
        <x:v>-7.247807360179581</x:v>
      </x:c>
    </x:row>
    <x:row r="35" ht="24" customHeight="1">
      <x:c r="A35" s="2"/>
      <x:c r="B35" s="34" t="n">
        <x:f>B34+1</x:f>
        <x:v>10</x:v>
      </x:c>
      <x:c r="C35" s="36" t="n">
        <x:f>IF('Inputs'!$C$7="Constant",(1+'Inputs'!$C$8)^(-B35),(1+'Inputs'!$C$9)^(-MIN(B35,'Inputs'!$C$11))*(1+'Inputs'!$C$10)^(-MAX(B35-'Inputs'!$C$11,0)))</x:f>
        <x:v>0.7089188137097722</x:v>
      </x:c>
      <x:c r="D35" s="34" t="n">
        <x:f>IF(B35&lt;=$C$5,1,0)</x:f>
        <x:v>1</x:v>
      </x:c>
      <x:c r="E35" s="19" t="n">
        <x:f>$C$7*D35</x:f>
        <x:v>5.018966572190644</x:v>
      </x:c>
      <x:c r="F35" s="19" t="n">
        <x:f>$C$12*D35</x:f>
        <x:v>3.1264981735043107</x:v>
      </x:c>
      <x:c r="G35" s="19" t="n">
        <x:f>0</x:f>
        <x:v>0</x:v>
      </x:c>
      <x:c r="H35" s="19" t="n">
        <x:f>$C$13*D35</x:f>
        <x:v>0.6432249578078262</x:v>
      </x:c>
      <x:c r="I35" s="19" t="n">
        <x:f>$C$14*D35</x:f>
        <x:v>0</x:v>
      </x:c>
      <x:c r="J35" s="19" t="n">
        <x:f>(E35+F35)*C35</x:f>
        <x:v>5.774473204632838</x:v>
      </x:c>
      <x:c r="K35" s="19" t="n">
        <x:f>(G35+H35+I35)*C35</x:f>
        <x:v>0.45599427403764237</x:v>
      </x:c>
      <x:c r="L35" s="19" t="n">
        <x:f>L34+E35*C35-K35</x:f>
        <x:v>-27.931179780380614</x:v>
      </x:c>
      <x:c r="M35" s="19" t="n">
        <x:f>M34+J35-K35</x:f>
        <x:v>-1.9293284295843853</x:v>
      </x:c>
    </x:row>
    <x:row r="36" ht="24" customHeight="1">
      <x:c r="A36" s="2"/>
      <x:c r="B36" s="34" t="n">
        <x:f>B35+1</x:f>
        <x:v>11</x:v>
      </x:c>
      <x:c r="C36" s="36" t="n">
        <x:f>IF('Inputs'!$C$7="Constant",(1+'Inputs'!$C$8)^(-B36),(1+'Inputs'!$C$9)^(-MIN(B36,'Inputs'!$C$11))*(1+'Inputs'!$C$10)^(-MAX(B36-'Inputs'!$C$11,0)))</x:f>
        <x:v>0.6849457137292485</x:v>
      </x:c>
      <x:c r="D36" s="34" t="n">
        <x:f>IF(B36&lt;=$C$5,1,0)</x:f>
        <x:v>1</x:v>
      </x:c>
      <x:c r="E36" s="19" t="n">
        <x:f>$C$7*D36</x:f>
        <x:v>5.018966572190644</x:v>
      </x:c>
      <x:c r="F36" s="19" t="n">
        <x:f>$C$12*D36</x:f>
        <x:v>3.1264981735043107</x:v>
      </x:c>
      <x:c r="G36" s="19" t="n">
        <x:f>0</x:f>
        <x:v>0</x:v>
      </x:c>
      <x:c r="H36" s="19" t="n">
        <x:f>$C$13*D36</x:f>
        <x:v>0.6432249578078262</x:v>
      </x:c>
      <x:c r="I36" s="19" t="n">
        <x:f>$C$14*D36</x:f>
        <x:v>0</x:v>
      </x:c>
      <x:c r="J36" s="19" t="n">
        <x:f>(E36+F36)*C36</x:f>
        <x:v>5.579201163896463</x:v>
      </x:c>
      <x:c r="K36" s="19" t="n">
        <x:f>(G36+H36+I36)*C36</x:f>
        <x:v>0.44057417781414726</x:v>
      </x:c>
      <x:c r="L36" s="19" t="n">
        <x:f>L35+E36*C36-K36</x:f>
        <x:v>-24.9340343172224</x:v>
      </x:c>
      <x:c r="M36" s="19" t="n">
        <x:f>M35+J36-K36</x:f>
        <x:v>3.2092985564979304</x:v>
      </x:c>
    </x:row>
    <x:row r="37" ht="24" customHeight="1">
      <x:c r="A37" s="2"/>
      <x:c r="B37" s="34" t="n">
        <x:f>B36+1</x:f>
        <x:v>12</x:v>
      </x:c>
      <x:c r="C37" s="36" t="n">
        <x:f>IF('Inputs'!$C$7="Constant",(1+'Inputs'!$C$8)^(-B37),(1+'Inputs'!$C$9)^(-MIN(B37,'Inputs'!$C$11))*(1+'Inputs'!$C$10)^(-MAX(B37-'Inputs'!$C$11,0)))</x:f>
        <x:v>0.6617832982891291</x:v>
      </x:c>
      <x:c r="D37" s="34" t="n">
        <x:f>IF(B37&lt;=$C$5,1,0)</x:f>
        <x:v>1</x:v>
      </x:c>
      <x:c r="E37" s="19" t="n">
        <x:f>$C$7*D37</x:f>
        <x:v>5.018966572190644</x:v>
      </x:c>
      <x:c r="F37" s="19" t="n">
        <x:f>$C$12*D37</x:f>
        <x:v>3.1264981735043107</x:v>
      </x:c>
      <x:c r="G37" s="19" t="n">
        <x:f>0</x:f>
        <x:v>0</x:v>
      </x:c>
      <x:c r="H37" s="19" t="n">
        <x:f>$C$13*D37</x:f>
        <x:v>0.6432249578078262</x:v>
      </x:c>
      <x:c r="I37" s="19" t="n">
        <x:f>$C$14*D37</x:f>
        <x:v>0</x:v>
      </x:c>
      <x:c r="J37" s="19" t="n">
        <x:f>(E37+F37)*C37</x:f>
        <x:v>5.390532525503829</x:v>
      </x:c>
      <x:c r="K37" s="19" t="n">
        <x:f>(G37+H37+I37)*C37</x:f>
        <x:v>0.4256755341199491</x:v>
      </x:c>
      <x:c r="L37" s="19" t="n">
        <x:f>L36+E37*C37-K37</x:f>
        <x:v>-22.038241599195143</x:v>
      </x:c>
      <x:c r="M37" s="19" t="n">
        <x:f>M36+J37-K37</x:f>
        <x:v>8.174155547881812</x:v>
      </x:c>
    </x:row>
    <x:row r="38" ht="24" customHeight="1">
      <x:c r="A38" s="2"/>
      <x:c r="B38" s="34" t="n">
        <x:f>B37+1</x:f>
        <x:v>13</x:v>
      </x:c>
      <x:c r="C38" s="36" t="n">
        <x:f>IF('Inputs'!$C$7="Constant",(1+'Inputs'!$C$8)^(-B38),(1+'Inputs'!$C$9)^(-MIN(B38,'Inputs'!$C$11))*(1+'Inputs'!$C$10)^(-MAX(B38-'Inputs'!$C$11,0)))</x:f>
        <x:v>0.6394041529363566</x:v>
      </x:c>
      <x:c r="D38" s="34" t="n">
        <x:f>IF(B38&lt;=$C$5,1,0)</x:f>
        <x:v>1</x:v>
      </x:c>
      <x:c r="E38" s="19" t="n">
        <x:f>$C$7*D38</x:f>
        <x:v>5.018966572190644</x:v>
      </x:c>
      <x:c r="F38" s="19" t="n">
        <x:f>$C$12*D38</x:f>
        <x:v>3.1264981735043107</x:v>
      </x:c>
      <x:c r="G38" s="19" t="n">
        <x:f>0</x:f>
        <x:v>0</x:v>
      </x:c>
      <x:c r="H38" s="19" t="n">
        <x:f>$C$13*D38</x:f>
        <x:v>0.6432249578078262</x:v>
      </x:c>
      <x:c r="I38" s="19" t="n">
        <x:f>$C$14*D38</x:f>
        <x:v>0</x:v>
      </x:c>
      <x:c r="J38" s="19" t="n">
        <x:f>(E38+F38)*C38</x:f>
        <x:v>5.208243985994038</x:v>
      </x:c>
      <x:c r="K38" s="19" t="n">
        <x:f>(G38+H38+I38)*C38</x:f>
        <x:v>0.4112807092946368</x:v>
      </x:c>
      <x:c r="L38" s="19" t="n">
        <x:f>L37+E38*C38-K38</x:f>
        <x:v>-19.24037423878233</x:v>
      </x:c>
      <x:c r="M38" s="19" t="n">
        <x:f>M37+J38-K38</x:f>
        <x:v>12.971118824581213</x:v>
      </x:c>
    </x:row>
    <x:row r="39" ht="24" customHeight="1">
      <x:c r="A39" s="2"/>
      <x:c r="B39" s="34" t="n">
        <x:f>B38+1</x:f>
        <x:v>14</x:v>
      </x:c>
      <x:c r="C39" s="36" t="n">
        <x:f>IF('Inputs'!$C$7="Constant",(1+'Inputs'!$C$8)^(-B39),(1+'Inputs'!$C$9)^(-MIN(B39,'Inputs'!$C$11))*(1+'Inputs'!$C$10)^(-MAX(B39-'Inputs'!$C$11,0)))</x:f>
        <x:v>0.6177817902766731</x:v>
      </x:c>
      <x:c r="D39" s="34" t="n">
        <x:f>IF(B39&lt;=$C$5,1,0)</x:f>
        <x:v>1</x:v>
      </x:c>
      <x:c r="E39" s="19" t="n">
        <x:f>$C$7*D39</x:f>
        <x:v>5.018966572190644</x:v>
      </x:c>
      <x:c r="F39" s="19" t="n">
        <x:f>$C$12*D39</x:f>
        <x:v>3.1264981735043107</x:v>
      </x:c>
      <x:c r="G39" s="19" t="n">
        <x:f>0</x:f>
        <x:v>0</x:v>
      </x:c>
      <x:c r="H39" s="19" t="n">
        <x:f>$C$13*D39</x:f>
        <x:v>0.6432249578078262</x:v>
      </x:c>
      <x:c r="I39" s="19" t="n">
        <x:f>$C$14*D39</x:f>
        <x:v>0</x:v>
      </x:c>
      <x:c r="J39" s="19" t="n">
        <x:f>(E39+F39)*C39</x:f>
        <x:v>5.032119793230955</x:v>
      </x:c>
      <x:c r="K39" s="19" t="n">
        <x:f>(G39+H39+I39)*C39</x:f>
        <x:v>0.3973726659851564</x:v>
      </x:c>
      <x:c r="L39" s="19" t="n">
        <x:f>L38+E39*C39-K39</x:f>
        <x:v>-16.537120750460772</x:v>
      </x:c>
      <x:c r="M39" s="19" t="n">
        <x:f>M38+J39-K39</x:f>
        <x:v>17.605865951827013</x:v>
      </x:c>
    </x:row>
    <x:row r="40" ht="24" customHeight="1">
      <x:c r="A40" s="2"/>
      <x:c r="B40" s="34" t="n">
        <x:f>B39+1</x:f>
        <x:v>15</x:v>
      </x:c>
      <x:c r="C40" s="36" t="n">
        <x:f>IF('Inputs'!$C$7="Constant",(1+'Inputs'!$C$8)^(-B40),(1+'Inputs'!$C$9)^(-MIN(B40,'Inputs'!$C$11))*(1+'Inputs'!$C$10)^(-MAX(B40-'Inputs'!$C$11,0)))</x:f>
        <x:v>0.596890618624805</x:v>
      </x:c>
      <x:c r="D40" s="34" t="n">
        <x:f>IF(B40&lt;=$C$5,1,0)</x:f>
        <x:v>1</x:v>
      </x:c>
      <x:c r="E40" s="19" t="n">
        <x:f>$C$7*D40</x:f>
        <x:v>5.018966572190644</x:v>
      </x:c>
      <x:c r="F40" s="19" t="n">
        <x:f>$C$12*D40</x:f>
        <x:v>3.1264981735043107</x:v>
      </x:c>
      <x:c r="G40" s="19" t="n">
        <x:f>0</x:f>
        <x:v>0</x:v>
      </x:c>
      <x:c r="H40" s="19" t="n">
        <x:f>$C$13*D40</x:f>
        <x:v>0.6432249578078262</x:v>
      </x:c>
      <x:c r="I40" s="19" t="n">
        <x:f>$C$14*D40</x:f>
        <x:v>0</x:v>
      </x:c>
      <x:c r="J40" s="19" t="n">
        <x:f>(E40+F40)*C40</x:f>
        <x:v>4.861951491044401</x:v>
      </x:c>
      <x:c r="K40" s="19" t="n">
        <x:f>(G40+H40+I40)*C40</x:f>
        <x:v>0.3839349429808274</x:v>
      </x:c>
      <x:c r="L40" s="19" t="n">
        <x:f>L39+E40*C40-K40</x:f>
        <x:v>-13.92528163130951</x:v>
      </x:c>
      <x:c r="M40" s="19" t="n">
        <x:f>M39+J40-K40</x:f>
        <x:v>22.08388249989059</x:v>
      </x:c>
    </x:row>
    <x:row r="41" ht="24" customHeight="1">
      <x:c r="A41" s="2"/>
      <x:c r="B41" s="34" t="n">
        <x:f>B40+1</x:f>
        <x:v>16</x:v>
      </x:c>
      <x:c r="C41" s="36" t="n">
        <x:f>IF('Inputs'!$C$7="Constant",(1+'Inputs'!$C$8)^(-B41),(1+'Inputs'!$C$9)^(-MIN(B41,'Inputs'!$C$11))*(1+'Inputs'!$C$10)^(-MAX(B41-'Inputs'!$C$11,0)))</x:f>
        <x:v>0.5767059117147875</x:v>
      </x:c>
      <x:c r="D41" s="34" t="n">
        <x:f>IF(B41&lt;=$C$5,1,0)</x:f>
        <x:v>1</x:v>
      </x:c>
      <x:c r="E41" s="19" t="n">
        <x:f>$C$7*D41</x:f>
        <x:v>5.018966572190644</x:v>
      </x:c>
      <x:c r="F41" s="19" t="n">
        <x:f>$C$12*D41</x:f>
        <x:v>3.1264981735043107</x:v>
      </x:c>
      <x:c r="G41" s="19" t="n">
        <x:f>0</x:f>
        <x:v>0</x:v>
      </x:c>
      <x:c r="H41" s="19" t="n">
        <x:f>$C$13*D41</x:f>
        <x:v>0.6432249578078262</x:v>
      </x:c>
      <x:c r="I41" s="19" t="n">
        <x:f>$C$14*D41</x:f>
        <x:v>0</x:v>
      </x:c>
      <x:c r="J41" s="19" t="n">
        <x:f>(E41+F41)*C41</x:f>
        <x:v>4.697537672506669</x:v>
      </x:c>
      <x:c r="K41" s="19" t="n">
        <x:f>(G41+H41+I41)*C41</x:f>
        <x:v>0.3709516357302681</x:v>
      </x:c>
      <x:c r="L41" s="19" t="n">
        <x:f>L40+E41*C41-K41</x:f>
        <x:v>-11.401765574158532</x:v>
      </x:c>
      <x:c r="M41" s="19" t="n">
        <x:f>M40+J41-K41</x:f>
        <x:v>26.41046853666699</x:v>
      </x:c>
    </x:row>
    <x:row r="42" ht="24" customHeight="1">
      <x:c r="A42" s="2"/>
      <x:c r="B42" s="34" t="n">
        <x:f>B41+1</x:f>
        <x:v>17</x:v>
      </x:c>
      <x:c r="C42" s="36" t="n">
        <x:f>IF('Inputs'!$C$7="Constant",(1+'Inputs'!$C$8)^(-B42),(1+'Inputs'!$C$9)^(-MIN(B42,'Inputs'!$C$11))*(1+'Inputs'!$C$10)^(-MAX(B42-'Inputs'!$C$11,0)))</x:f>
        <x:v>0.5572037794345773</x:v>
      </x:c>
      <x:c r="D42" s="34" t="n">
        <x:f>IF(B42&lt;=$C$5,1,0)</x:f>
        <x:v>1</x:v>
      </x:c>
      <x:c r="E42" s="19" t="n">
        <x:f>$C$7*D42</x:f>
        <x:v>5.018966572190644</x:v>
      </x:c>
      <x:c r="F42" s="19" t="n">
        <x:f>$C$12*D42</x:f>
        <x:v>3.1264981735043107</x:v>
      </x:c>
      <x:c r="G42" s="19" t="n">
        <x:f>0</x:f>
        <x:v>0</x:v>
      </x:c>
      <x:c r="H42" s="19" t="n">
        <x:f>$C$13*D42</x:f>
        <x:v>0.6432249578078262</x:v>
      </x:c>
      <x:c r="I42" s="19" t="n">
        <x:f>$C$14*D42</x:f>
        <x:v>0</x:v>
      </x:c>
      <x:c r="J42" s="19" t="n">
        <x:f>(E42+F42)*C42</x:f>
        <x:v>4.538683741552338</x:v>
      </x:c>
      <x:c r="K42" s="19" t="n">
        <x:f>(G42+H42+I42)*C42</x:f>
        <x:v>0.3584073775171673</x:v>
      </x:c>
      <x:c r="L42" s="19" t="n">
        <x:f>L41+E42*C42-K42</x:f>
        <x:v>-8.963585808795267</x:v>
      </x:c>
      <x:c r="M42" s="19" t="n">
        <x:f>M41+J42-K42</x:f>
        <x:v>30.59074490070216</x:v>
      </x:c>
    </x:row>
    <x:row r="43" ht="24" customHeight="1">
      <x:c r="A43" s="2"/>
      <x:c r="B43" s="34" t="n">
        <x:f>B42+1</x:f>
        <x:v>18</x:v>
      </x:c>
      <x:c r="C43" s="36" t="n">
        <x:f>IF('Inputs'!$C$7="Constant",(1+'Inputs'!$C$8)^(-B43),(1+'Inputs'!$C$9)^(-MIN(B43,'Inputs'!$C$11))*(1+'Inputs'!$C$10)^(-MAX(B43-'Inputs'!$C$11,0)))</x:f>
        <x:v>0.5383611395503163</x:v>
      </x:c>
      <x:c r="D43" s="34" t="n">
        <x:f>IF(B43&lt;=$C$5,1,0)</x:f>
        <x:v>1</x:v>
      </x:c>
      <x:c r="E43" s="19" t="n">
        <x:f>$C$7*D43</x:f>
        <x:v>5.018966572190644</x:v>
      </x:c>
      <x:c r="F43" s="19" t="n">
        <x:f>$C$12*D43</x:f>
        <x:v>3.1264981735043107</x:v>
      </x:c>
      <x:c r="G43" s="19" t="n">
        <x:f>0</x:f>
        <x:v>0</x:v>
      </x:c>
      <x:c r="H43" s="19" t="n">
        <x:f>$C$13*D43</x:f>
        <x:v>0.6432249578078262</x:v>
      </x:c>
      <x:c r="I43" s="19" t="n">
        <x:f>$C$14*D43</x:f>
        <x:v>0</x:v>
      </x:c>
      <x:c r="J43" s="19" t="n">
        <x:f>(E43+F43)*C43</x:f>
        <x:v>4.385201682659264</x:v>
      </x:c>
      <x:c r="K43" s="19" t="n">
        <x:f>(G43+H43+I43)*C43</x:f>
        <x:v>0.3462873212726254</x:v>
      </x:c>
      <x:c r="L43" s="19" t="n">
        <x:f>L42+E43*C43-K43</x:f>
        <x:v>-6.607856566898393</x:v>
      </x:c>
      <x:c r="M43" s="19" t="n">
        <x:f>M42+J43-K43</x:f>
        <x:v>34.62965926208879</x:v>
      </x:c>
    </x:row>
    <x:row r="44" ht="24" customHeight="1">
      <x:c r="A44" s="2"/>
      <x:c r="B44" s="34" t="n">
        <x:f>B43+1</x:f>
        <x:v>19</x:v>
      </x:c>
      <x:c r="C44" s="36" t="n">
        <x:f>IF('Inputs'!$C$7="Constant",(1+'Inputs'!$C$8)^(-B44),(1+'Inputs'!$C$9)^(-MIN(B44,'Inputs'!$C$11))*(1+'Inputs'!$C$10)^(-MAX(B44-'Inputs'!$C$11,0)))</x:f>
        <x:v>0.520155690386779</x:v>
      </x:c>
      <x:c r="D44" s="34" t="n">
        <x:f>IF(B44&lt;=$C$5,1,0)</x:f>
        <x:v>1</x:v>
      </x:c>
      <x:c r="E44" s="19" t="n">
        <x:f>$C$7*D44</x:f>
        <x:v>5.018966572190644</x:v>
      </x:c>
      <x:c r="F44" s="19" t="n">
        <x:f>$C$12*D44</x:f>
        <x:v>3.1264981735043107</x:v>
      </x:c>
      <x:c r="G44" s="19" t="n">
        <x:f>0</x:f>
        <x:v>0</x:v>
      </x:c>
      <x:c r="H44" s="19" t="n">
        <x:f>$C$13*D44</x:f>
        <x:v>0.6432249578078262</x:v>
      </x:c>
      <x:c r="I44" s="19" t="n">
        <x:f>$C$14*D44</x:f>
        <x:v>0</x:v>
      </x:c>
      <x:c r="J44" s="19" t="n">
        <x:f>(E44+F44)*C44</x:f>
        <x:v>4.2369098383181285</x:v>
      </x:c>
      <x:c r="K44" s="19" t="n">
        <x:f>(G44+H44+I44)*C44</x:f>
        <x:v>0.33457712200253664</x:v>
      </x:c>
      <x:c r="L44" s="19" t="n">
        <x:f>L43+E44*C44-K44</x:f>
        <x:v>-4.33178966651494</x:v>
      </x:c>
      <x:c r="M44" s="19" t="n">
        <x:f>M43+J44-K44</x:f>
        <x:v>38.531991978404385</x:v>
      </x:c>
    </x:row>
    <x:row r="45" ht="24" customHeight="1">
      <x:c r="A45" s="2"/>
      <x:c r="B45" s="34" t="n">
        <x:f>B44+1</x:f>
        <x:v>20</x:v>
      </x:c>
      <x:c r="C45" s="36" t="n">
        <x:f>IF('Inputs'!$C$7="Constant",(1+'Inputs'!$C$8)^(-B45),(1+'Inputs'!$C$9)^(-MIN(B45,'Inputs'!$C$11))*(1+'Inputs'!$C$10)^(-MAX(B45-'Inputs'!$C$11,0)))</x:f>
        <x:v>0.5025658844316706</x:v>
      </x:c>
      <x:c r="D45" s="34" t="n">
        <x:f>IF(B45&lt;=$C$5,1,0)</x:f>
        <x:v>1</x:v>
      </x:c>
      <x:c r="E45" s="19" t="n">
        <x:f>$C$7*D45</x:f>
        <x:v>5.018966572190644</x:v>
      </x:c>
      <x:c r="F45" s="19" t="n">
        <x:f>$C$12*D45</x:f>
        <x:v>3.1264981735043107</x:v>
      </x:c>
      <x:c r="G45" s="19" t="n">
        <x:f>0</x:f>
        <x:v>0</x:v>
      </x:c>
      <x:c r="H45" s="19" t="n">
        <x:f>$C$13*D45</x:f>
        <x:v>0.6432249578078262</x:v>
      </x:c>
      <x:c r="I45" s="19" t="n">
        <x:f>$C$14*D45</x:f>
        <x:v>0</x:v>
      </x:c>
      <x:c r="J45" s="19" t="n">
        <x:f>(E45+F45)*C45</x:f>
        <x:v>4.093632694027178</x:v>
      </x:c>
      <x:c r="K45" s="19" t="n">
        <x:f>(G45+H45+I45)*C45</x:f>
        <x:v>0.3232629198092142</x:v>
      </x:c>
      <x:c r="L45" s="19" t="n">
        <x:f>L44+E45*C45-K45</x:f>
        <x:v>-2.132691212038173</x:v>
      </x:c>
      <x:c r="M45" s="19" t="n">
        <x:f>M44+J45-K45</x:f>
        <x:v>42.302361752622346</x:v>
      </x:c>
    </x:row>
    <x:row r="46" ht="24" customHeight="1">
      <x:c r="A46" s="2"/>
      <x:c r="B46" s="34" t="n">
        <x:f>B45+1</x:f>
        <x:v>21</x:v>
      </x:c>
      <x:c r="C46" s="36" t="n">
        <x:f>IF('Inputs'!$C$7="Constant",(1+'Inputs'!$C$8)^(-B46),(1+'Inputs'!$C$9)^(-MIN(B46,'Inputs'!$C$11))*(1+'Inputs'!$C$10)^(-MAX(B46-'Inputs'!$C$11,0)))</x:f>
        <x:v>0.485570902832532</x:v>
      </x:c>
      <x:c r="D46" s="34" t="n">
        <x:f>IF(B46&lt;=$C$5,1,0)</x:f>
        <x:v>0</x:v>
      </x:c>
      <x:c r="E46" s="19" t="n">
        <x:f>$C$7*D46</x:f>
        <x:v>0</x:v>
      </x:c>
      <x:c r="F46" s="19" t="n">
        <x:f>$C$12*D46</x:f>
        <x:v>0</x:v>
      </x:c>
      <x:c r="G46" s="19" t="n">
        <x:f>0</x:f>
        <x:v>0</x:v>
      </x:c>
      <x:c r="H46" s="19" t="n">
        <x:f>$C$13*D46</x:f>
        <x:v>0</x:v>
      </x:c>
      <x:c r="I46" s="19" t="n">
        <x:f>$C$14*D46</x:f>
        <x:v>0</x:v>
      </x:c>
      <x:c r="J46" s="19" t="n">
        <x:f>(E46+F46)*C46</x:f>
        <x:v>0</x:v>
      </x:c>
      <x:c r="K46" s="19" t="n">
        <x:f>(G46+H46+I46)*C46</x:f>
        <x:v>0</x:v>
      </x:c>
      <x:c r="L46" s="19" t="n">
        <x:f>L45+E46*C46-K46</x:f>
        <x:v>-2.132691212038173</x:v>
      </x:c>
      <x:c r="M46" s="19" t="n">
        <x:f>M45+J46-K46</x:f>
        <x:v>42.302361752622346</x:v>
      </x:c>
    </x:row>
    <x:row r="47" ht="24" customHeight="1">
      <x:c r="A47" s="2"/>
      <x:c r="B47" s="34" t="n">
        <x:f>B46+1</x:f>
        <x:v>22</x:v>
      </x:c>
      <x:c r="C47" s="36" t="n">
        <x:f>IF('Inputs'!$C$7="Constant",(1+'Inputs'!$C$8)^(-B47),(1+'Inputs'!$C$9)^(-MIN(B47,'Inputs'!$C$11))*(1+'Inputs'!$C$10)^(-MAX(B47-'Inputs'!$C$11,0)))</x:f>
        <x:v>0.4691506307560696</x:v>
      </x:c>
      <x:c r="D47" s="34" t="n">
        <x:f>IF(B47&lt;=$C$5,1,0)</x:f>
        <x:v>0</x:v>
      </x:c>
      <x:c r="E47" s="19" t="n">
        <x:f>$C$7*D47</x:f>
        <x:v>0</x:v>
      </x:c>
      <x:c r="F47" s="19" t="n">
        <x:f>$C$12*D47</x:f>
        <x:v>0</x:v>
      </x:c>
      <x:c r="G47" s="19" t="n">
        <x:f>0</x:f>
        <x:v>0</x:v>
      </x:c>
      <x:c r="H47" s="19" t="n">
        <x:f>$C$13*D47</x:f>
        <x:v>0</x:v>
      </x:c>
      <x:c r="I47" s="19" t="n">
        <x:f>$C$14*D47</x:f>
        <x:v>0</x:v>
      </x:c>
      <x:c r="J47" s="19" t="n">
        <x:f>(E47+F47)*C47</x:f>
        <x:v>0</x:v>
      </x:c>
      <x:c r="K47" s="19" t="n">
        <x:f>(G47+H47+I47)*C47</x:f>
        <x:v>0</x:v>
      </x:c>
      <x:c r="L47" s="19" t="n">
        <x:f>L46+E47*C47-K47</x:f>
        <x:v>-2.132691212038173</x:v>
      </x:c>
      <x:c r="M47" s="19" t="n">
        <x:f>M46+J47-K47</x:f>
        <x:v>42.302361752622346</x:v>
      </x:c>
    </x:row>
    <x:row r="48" ht="24" customHeight="1">
      <x:c r="A48" s="2"/>
      <x:c r="B48" s="34" t="n">
        <x:f>B47+1</x:f>
        <x:v>23</x:v>
      </x:c>
      <x:c r="C48" s="36" t="n">
        <x:f>IF('Inputs'!$C$7="Constant",(1+'Inputs'!$C$8)^(-B48),(1+'Inputs'!$C$9)^(-MIN(B48,'Inputs'!$C$11))*(1+'Inputs'!$C$10)^(-MAX(B48-'Inputs'!$C$11,0)))</x:f>
        <x:v>0.45328563358074364</x:v>
      </x:c>
      <x:c r="D48" s="34" t="n">
        <x:f>IF(B48&lt;=$C$5,1,0)</x:f>
        <x:v>0</x:v>
      </x:c>
      <x:c r="E48" s="19" t="n">
        <x:f>$C$7*D48</x:f>
        <x:v>0</x:v>
      </x:c>
      <x:c r="F48" s="19" t="n">
        <x:f>$C$12*D48</x:f>
        <x:v>0</x:v>
      </x:c>
      <x:c r="G48" s="19" t="n">
        <x:f>0</x:f>
        <x:v>0</x:v>
      </x:c>
      <x:c r="H48" s="19" t="n">
        <x:f>$C$13*D48</x:f>
        <x:v>0</x:v>
      </x:c>
      <x:c r="I48" s="19" t="n">
        <x:f>$C$14*D48</x:f>
        <x:v>0</x:v>
      </x:c>
      <x:c r="J48" s="19" t="n">
        <x:f>(E48+F48)*C48</x:f>
        <x:v>0</x:v>
      </x:c>
      <x:c r="K48" s="19" t="n">
        <x:f>(G48+H48+I48)*C48</x:f>
        <x:v>0</x:v>
      </x:c>
      <x:c r="L48" s="19" t="n">
        <x:f>L47+E48*C48-K48</x:f>
        <x:v>-2.132691212038173</x:v>
      </x:c>
      <x:c r="M48" s="19" t="n">
        <x:f>M47+J48-K48</x:f>
        <x:v>42.302361752622346</x:v>
      </x:c>
    </x:row>
    <x:row r="49" ht="24" customHeight="1">
      <x:c r="A49" s="2"/>
      <x:c r="B49" s="34" t="n">
        <x:f>B48+1</x:f>
        <x:v>24</x:v>
      </x:c>
      <x:c r="C49" s="36" t="n">
        <x:f>IF('Inputs'!$C$7="Constant",(1+'Inputs'!$C$8)^(-B49),(1+'Inputs'!$C$9)^(-MIN(B49,'Inputs'!$C$11))*(1+'Inputs'!$C$10)^(-MAX(B49-'Inputs'!$C$11,0)))</x:f>
        <x:v>0.43795713389443836</x:v>
      </x:c>
      <x:c r="D49" s="34" t="n">
        <x:f>IF(B49&lt;=$C$5,1,0)</x:f>
        <x:v>0</x:v>
      </x:c>
      <x:c r="E49" s="19" t="n">
        <x:f>$C$7*D49</x:f>
        <x:v>0</x:v>
      </x:c>
      <x:c r="F49" s="19" t="n">
        <x:f>$C$12*D49</x:f>
        <x:v>0</x:v>
      </x:c>
      <x:c r="G49" s="19" t="n">
        <x:f>0</x:f>
        <x:v>0</x:v>
      </x:c>
      <x:c r="H49" s="19" t="n">
        <x:f>$C$13*D49</x:f>
        <x:v>0</x:v>
      </x:c>
      <x:c r="I49" s="19" t="n">
        <x:f>$C$14*D49</x:f>
        <x:v>0</x:v>
      </x:c>
      <x:c r="J49" s="19" t="n">
        <x:f>(E49+F49)*C49</x:f>
        <x:v>0</x:v>
      </x:c>
      <x:c r="K49" s="19" t="n">
        <x:f>(G49+H49+I49)*C49</x:f>
        <x:v>0</x:v>
      </x:c>
      <x:c r="L49" s="19" t="n">
        <x:f>L48+E49*C49-K49</x:f>
        <x:v>-2.132691212038173</x:v>
      </x:c>
      <x:c r="M49" s="19" t="n">
        <x:f>M48+J49-K49</x:f>
        <x:v>42.302361752622346</x:v>
      </x:c>
    </x:row>
    <x:row r="50" ht="24" customHeight="1">
      <x:c r="A50" s="2"/>
      <x:c r="B50" s="34" t="n">
        <x:f>B49+1</x:f>
        <x:v>25</x:v>
      </x:c>
      <x:c r="C50" s="36" t="n">
        <x:f>IF('Inputs'!$C$7="Constant",(1+'Inputs'!$C$8)^(-B50),(1+'Inputs'!$C$9)^(-MIN(B50,'Inputs'!$C$11))*(1+'Inputs'!$C$10)^(-MAX(B50-'Inputs'!$C$11,0)))</x:f>
        <x:v>0.4231469892699888</x:v>
      </x:c>
      <x:c r="D50" s="34" t="n">
        <x:f>IF(B50&lt;=$C$5,1,0)</x:f>
        <x:v>0</x:v>
      </x:c>
      <x:c r="E50" s="19" t="n">
        <x:f>$C$7*D50</x:f>
        <x:v>0</x:v>
      </x:c>
      <x:c r="F50" s="19" t="n">
        <x:f>$C$12*D50</x:f>
        <x:v>0</x:v>
      </x:c>
      <x:c r="G50" s="19" t="n">
        <x:f>0</x:f>
        <x:v>0</x:v>
      </x:c>
      <x:c r="H50" s="19" t="n">
        <x:f>$C$13*D50</x:f>
        <x:v>0</x:v>
      </x:c>
      <x:c r="I50" s="19" t="n">
        <x:f>$C$14*D50</x:f>
        <x:v>0</x:v>
      </x:c>
      <x:c r="J50" s="19" t="n">
        <x:f>(E50+F50)*C50</x:f>
        <x:v>0</x:v>
      </x:c>
      <x:c r="K50" s="19" t="n">
        <x:f>(G50+H50+I50)*C50</x:f>
        <x:v>0</x:v>
      </x:c>
      <x:c r="L50" s="19" t="n">
        <x:f>L49+E50*C50-K50</x:f>
        <x:v>-2.132691212038173</x:v>
      </x:c>
      <x:c r="M50" s="19" t="n">
        <x:f>M49+J50-K50</x:f>
        <x:v>42.302361752622346</x:v>
      </x:c>
    </x:row>
    <x:row r="51" ht="24" customHeight="1">
      <x:c r="A51" s="2"/>
      <x:c r="B51" s="34" t="n">
        <x:f>B50+1</x:f>
        <x:v>26</x:v>
      </x:c>
      <x:c r="C51" s="36" t="n">
        <x:f>IF('Inputs'!$C$7="Constant",(1+'Inputs'!$C$8)^(-B51),(1+'Inputs'!$C$9)^(-MIN(B51,'Inputs'!$C$11))*(1+'Inputs'!$C$10)^(-MAX(B51-'Inputs'!$C$11,0)))</x:f>
        <x:v>0.4088376707922597</x:v>
      </x:c>
      <x:c r="D51" s="34" t="n">
        <x:f>IF(B51&lt;=$C$5,1,0)</x:f>
        <x:v>0</x:v>
      </x:c>
      <x:c r="E51" s="19" t="n">
        <x:f>$C$7*D51</x:f>
        <x:v>0</x:v>
      </x:c>
      <x:c r="F51" s="19" t="n">
        <x:f>$C$12*D51</x:f>
        <x:v>0</x:v>
      </x:c>
      <x:c r="G51" s="19" t="n">
        <x:f>0</x:f>
        <x:v>0</x:v>
      </x:c>
      <x:c r="H51" s="19" t="n">
        <x:f>$C$13*D51</x:f>
        <x:v>0</x:v>
      </x:c>
      <x:c r="I51" s="19" t="n">
        <x:f>$C$14*D51</x:f>
        <x:v>0</x:v>
      </x:c>
      <x:c r="J51" s="19" t="n">
        <x:f>(E51+F51)*C51</x:f>
        <x:v>0</x:v>
      </x:c>
      <x:c r="K51" s="19" t="n">
        <x:f>(G51+H51+I51)*C51</x:f>
        <x:v>0</x:v>
      </x:c>
      <x:c r="L51" s="19" t="n">
        <x:f>L50+E51*C51-K51</x:f>
        <x:v>-2.132691212038173</x:v>
      </x:c>
      <x:c r="M51" s="19" t="n">
        <x:f>M50+J51-K51</x:f>
        <x:v>42.302361752622346</x:v>
      </x:c>
    </x:row>
    <x:row r="52" ht="24" customHeight="1">
      <x:c r="A52" s="2"/>
      <x:c r="B52" s="34" t="n">
        <x:f>B51+1</x:f>
        <x:v>27</x:v>
      </x:c>
      <x:c r="C52" s="36" t="n">
        <x:f>IF('Inputs'!$C$7="Constant",(1+'Inputs'!$C$8)^(-B52),(1+'Inputs'!$C$9)^(-MIN(B52,'Inputs'!$C$11))*(1+'Inputs'!$C$10)^(-MAX(B52-'Inputs'!$C$11,0)))</x:f>
        <x:v>0.39501224231136206</x:v>
      </x:c>
      <x:c r="D52" s="34" t="n">
        <x:f>IF(B52&lt;=$C$5,1,0)</x:f>
        <x:v>0</x:v>
      </x:c>
      <x:c r="E52" s="19" t="n">
        <x:f>$C$7*D52</x:f>
        <x:v>0</x:v>
      </x:c>
      <x:c r="F52" s="19" t="n">
        <x:f>$C$12*D52</x:f>
        <x:v>0</x:v>
      </x:c>
      <x:c r="G52" s="19" t="n">
        <x:f>0</x:f>
        <x:v>0</x:v>
      </x:c>
      <x:c r="H52" s="19" t="n">
        <x:f>$C$13*D52</x:f>
        <x:v>0</x:v>
      </x:c>
      <x:c r="I52" s="19" t="n">
        <x:f>$C$14*D52</x:f>
        <x:v>0</x:v>
      </x:c>
      <x:c r="J52" s="19" t="n">
        <x:f>(E52+F52)*C52</x:f>
        <x:v>0</x:v>
      </x:c>
      <x:c r="K52" s="19" t="n">
        <x:f>(G52+H52+I52)*C52</x:f>
        <x:v>0</x:v>
      </x:c>
      <x:c r="L52" s="19" t="n">
        <x:f>L51+E52*C52-K52</x:f>
        <x:v>-2.132691212038173</x:v>
      </x:c>
      <x:c r="M52" s="19" t="n">
        <x:f>M51+J52-K52</x:f>
        <x:v>42.302361752622346</x:v>
      </x:c>
    </x:row>
    <x:row r="53" ht="24" customHeight="1">
      <x:c r="A53" s="2"/>
      <x:c r="B53" s="34" t="n">
        <x:f>B52+1</x:f>
        <x:v>28</x:v>
      </x:c>
      <x:c r="C53" s="36" t="n">
        <x:f>IF('Inputs'!$C$7="Constant",(1+'Inputs'!$C$8)^(-B53),(1+'Inputs'!$C$9)^(-MIN(B53,'Inputs'!$C$11))*(1+'Inputs'!$C$10)^(-MAX(B53-'Inputs'!$C$11,0)))</x:f>
        <x:v>0.3816543403974513</x:v>
      </x:c>
      <x:c r="D53" s="34" t="n">
        <x:f>IF(B53&lt;=$C$5,1,0)</x:f>
        <x:v>0</x:v>
      </x:c>
      <x:c r="E53" s="19" t="n">
        <x:f>$C$7*D53</x:f>
        <x:v>0</x:v>
      </x:c>
      <x:c r="F53" s="19" t="n">
        <x:f>$C$12*D53</x:f>
        <x:v>0</x:v>
      </x:c>
      <x:c r="G53" s="19" t="n">
        <x:f>0</x:f>
        <x:v>0</x:v>
      </x:c>
      <x:c r="H53" s="19" t="n">
        <x:f>$C$13*D53</x:f>
        <x:v>0</x:v>
      </x:c>
      <x:c r="I53" s="19" t="n">
        <x:f>$C$14*D53</x:f>
        <x:v>0</x:v>
      </x:c>
      <x:c r="J53" s="19" t="n">
        <x:f>(E53+F53)*C53</x:f>
        <x:v>0</x:v>
      </x:c>
      <x:c r="K53" s="19" t="n">
        <x:f>(G53+H53+I53)*C53</x:f>
        <x:v>0</x:v>
      </x:c>
      <x:c r="L53" s="19" t="n">
        <x:f>L52+E53*C53-K53</x:f>
        <x:v>-2.132691212038173</x:v>
      </x:c>
      <x:c r="M53" s="19" t="n">
        <x:f>M52+J53-K53</x:f>
        <x:v>42.302361752622346</x:v>
      </x:c>
    </x:row>
    <x:row r="54" ht="24" customHeight="1">
      <x:c r="A54" s="2"/>
      <x:c r="B54" s="34" t="n">
        <x:f>B53+1</x:f>
        <x:v>29</x:v>
      </x:c>
      <x:c r="C54" s="36" t="n">
        <x:f>IF('Inputs'!$C$7="Constant",(1+'Inputs'!$C$8)^(-B54),(1+'Inputs'!$C$9)^(-MIN(B54,'Inputs'!$C$11))*(1+'Inputs'!$C$10)^(-MAX(B54-'Inputs'!$C$11,0)))</x:f>
        <x:v>0.3687481549733829</x:v>
      </x:c>
      <x:c r="D54" s="34" t="n">
        <x:f>IF(B54&lt;=$C$5,1,0)</x:f>
        <x:v>0</x:v>
      </x:c>
      <x:c r="E54" s="19" t="n">
        <x:f>$C$7*D54</x:f>
        <x:v>0</x:v>
      </x:c>
      <x:c r="F54" s="19" t="n">
        <x:f>$C$12*D54</x:f>
        <x:v>0</x:v>
      </x:c>
      <x:c r="G54" s="19" t="n">
        <x:f>0</x:f>
        <x:v>0</x:v>
      </x:c>
      <x:c r="H54" s="19" t="n">
        <x:f>$C$13*D54</x:f>
        <x:v>0</x:v>
      </x:c>
      <x:c r="I54" s="19" t="n">
        <x:f>$C$14*D54</x:f>
        <x:v>0</x:v>
      </x:c>
      <x:c r="J54" s="19" t="n">
        <x:f>(E54+F54)*C54</x:f>
        <x:v>0</x:v>
      </x:c>
      <x:c r="K54" s="19" t="n">
        <x:f>(G54+H54+I54)*C54</x:f>
        <x:v>0</x:v>
      </x:c>
      <x:c r="L54" s="19" t="n">
        <x:f>L53+E54*C54-K54</x:f>
        <x:v>-2.132691212038173</x:v>
      </x:c>
      <x:c r="M54" s="19" t="n">
        <x:f>M53+J54-K54</x:f>
        <x:v>42.302361752622346</x:v>
      </x:c>
    </x:row>
    <x:row r="55" ht="24" customHeight="1">
      <x:c r="A55" s="2"/>
      <x:c r="B55" s="34" t="n">
        <x:f>B54+1</x:f>
        <x:v>30</x:v>
      </x:c>
      <x:c r="C55" s="36" t="n">
        <x:f>IF('Inputs'!$C$7="Constant",(1+'Inputs'!$C$8)^(-B55),(1+'Inputs'!$C$9)^(-MIN(B55,'Inputs'!$C$11))*(1+'Inputs'!$C$10)^(-MAX(B55-'Inputs'!$C$11,0)))</x:f>
        <x:v>0.35627841060230236</x:v>
      </x:c>
      <x:c r="D55" s="34" t="n">
        <x:f>IF(B55&lt;=$C$5,1,0)</x:f>
        <x:v>0</x:v>
      </x:c>
      <x:c r="E55" s="19" t="n">
        <x:f>$C$7*D55</x:f>
        <x:v>0</x:v>
      </x:c>
      <x:c r="F55" s="19" t="n">
        <x:f>$C$12*D55</x:f>
        <x:v>0</x:v>
      </x:c>
      <x:c r="G55" s="19" t="n">
        <x:f>0</x:f>
        <x:v>0</x:v>
      </x:c>
      <x:c r="H55" s="19" t="n">
        <x:f>$C$13*D55</x:f>
        <x:v>0</x:v>
      </x:c>
      <x:c r="I55" s="19" t="n">
        <x:f>$C$14*D55</x:f>
        <x:v>0</x:v>
      </x:c>
      <x:c r="J55" s="19" t="n">
        <x:f>(E55+F55)*C55</x:f>
        <x:v>0</x:v>
      </x:c>
      <x:c r="K55" s="19" t="n">
        <x:f>(G55+H55+I55)*C55</x:f>
        <x:v>0</x:v>
      </x:c>
      <x:c r="L55" s="19" t="n">
        <x:f>L54+E55*C55-K55</x:f>
        <x:v>-2.132691212038173</x:v>
      </x:c>
      <x:c r="M55" s="19" t="n">
        <x:f>M54+J55-K55</x:f>
        <x:v>42.302361752622346</x:v>
      </x:c>
    </x:row>
    <x:row r="56" ht="24" customHeight="1">
      <x:c r="A56" s="2"/>
      <x:c r="B56" s="34" t="n">
        <x:f>B55+1</x:f>
        <x:v>31</x:v>
      </x:c>
      <x:c r="C56" s="36" t="n">
        <x:f>IF('Inputs'!$C$7="Constant",(1+'Inputs'!$C$8)^(-B56),(1+'Inputs'!$C$9)^(-MIN(B56,'Inputs'!$C$11))*(1+'Inputs'!$C$10)^(-MAX(B56-'Inputs'!$C$11,0)))</x:f>
        <x:v>0.3459013695167984</x:v>
      </x:c>
      <x:c r="D56" s="34" t="n">
        <x:f>IF(B56&lt;=$C$5,1,0)</x:f>
        <x:v>0</x:v>
      </x:c>
      <x:c r="E56" s="19" t="n">
        <x:f>$C$7*D56</x:f>
        <x:v>0</x:v>
      </x:c>
      <x:c r="F56" s="19" t="n">
        <x:f>$C$12*D56</x:f>
        <x:v>0</x:v>
      </x:c>
      <x:c r="G56" s="19" t="n">
        <x:f>0</x:f>
        <x:v>0</x:v>
      </x:c>
      <x:c r="H56" s="19" t="n">
        <x:f>$C$13*D56</x:f>
        <x:v>0</x:v>
      </x:c>
      <x:c r="I56" s="19" t="n">
        <x:f>$C$14*D56</x:f>
        <x:v>0</x:v>
      </x:c>
      <x:c r="J56" s="19" t="n">
        <x:f>(E56+F56)*C56</x:f>
        <x:v>0</x:v>
      </x:c>
      <x:c r="K56" s="19" t="n">
        <x:f>(G56+H56+I56)*C56</x:f>
        <x:v>0</x:v>
      </x:c>
      <x:c r="L56" s="19" t="n">
        <x:f>L55+E56*C56-K56</x:f>
        <x:v>-2.132691212038173</x:v>
      </x:c>
      <x:c r="M56" s="19" t="n">
        <x:f>M55+J56-K56</x:f>
        <x:v>42.302361752622346</x:v>
      </x:c>
    </x:row>
    <x:row r="57" ht="24" customHeight="1">
      <x:c r="A57" s="2"/>
      <x:c r="B57" s="34" t="n">
        <x:f>B56+1</x:f>
        <x:v>32</x:v>
      </x:c>
      <x:c r="C57" s="36" t="n">
        <x:f>IF('Inputs'!$C$7="Constant",(1+'Inputs'!$C$8)^(-B57),(1+'Inputs'!$C$9)^(-MIN(B57,'Inputs'!$C$11))*(1+'Inputs'!$C$10)^(-MAX(B57-'Inputs'!$C$11,0)))</x:f>
        <x:v>0.3358265723464062</x:v>
      </x:c>
      <x:c r="D57" s="34" t="n">
        <x:f>IF(B57&lt;=$C$5,1,0)</x:f>
        <x:v>0</x:v>
      </x:c>
      <x:c r="E57" s="19" t="n">
        <x:f>$C$7*D57</x:f>
        <x:v>0</x:v>
      </x:c>
      <x:c r="F57" s="19" t="n">
        <x:f>$C$12*D57</x:f>
        <x:v>0</x:v>
      </x:c>
      <x:c r="G57" s="19" t="n">
        <x:f>0</x:f>
        <x:v>0</x:v>
      </x:c>
      <x:c r="H57" s="19" t="n">
        <x:f>$C$13*D57</x:f>
        <x:v>0</x:v>
      </x:c>
      <x:c r="I57" s="19" t="n">
        <x:f>$C$14*D57</x:f>
        <x:v>0</x:v>
      </x:c>
      <x:c r="J57" s="19" t="n">
        <x:f>(E57+F57)*C57</x:f>
        <x:v>0</x:v>
      </x:c>
      <x:c r="K57" s="19" t="n">
        <x:f>(G57+H57+I57)*C57</x:f>
        <x:v>0</x:v>
      </x:c>
      <x:c r="L57" s="19" t="n">
        <x:f>L56+E57*C57-K57</x:f>
        <x:v>-2.132691212038173</x:v>
      </x:c>
      <x:c r="M57" s="19" t="n">
        <x:f>M56+J57-K57</x:f>
        <x:v>42.302361752622346</x:v>
      </x:c>
    </x:row>
    <x:row r="58" ht="24" customHeight="1">
      <x:c r="A58" s="2"/>
      <x:c r="B58" s="34" t="n">
        <x:f>B57+1</x:f>
        <x:v>33</x:v>
      </x:c>
      <x:c r="C58" s="36" t="n">
        <x:f>IF('Inputs'!$C$7="Constant",(1+'Inputs'!$C$8)^(-B58),(1+'Inputs'!$C$9)^(-MIN(B58,'Inputs'!$C$11))*(1+'Inputs'!$C$10)^(-MAX(B58-'Inputs'!$C$11,0)))</x:f>
        <x:v>0.3260452158702973</x:v>
      </x:c>
      <x:c r="D58" s="34" t="n">
        <x:f>IF(B58&lt;=$C$5,1,0)</x:f>
        <x:v>0</x:v>
      </x:c>
      <x:c r="E58" s="19" t="n">
        <x:f>$C$7*D58</x:f>
        <x:v>0</x:v>
      </x:c>
      <x:c r="F58" s="19" t="n">
        <x:f>$C$12*D58</x:f>
        <x:v>0</x:v>
      </x:c>
      <x:c r="G58" s="19" t="n">
        <x:f>0</x:f>
        <x:v>0</x:v>
      </x:c>
      <x:c r="H58" s="19" t="n">
        <x:f>$C$13*D58</x:f>
        <x:v>0</x:v>
      </x:c>
      <x:c r="I58" s="19" t="n">
        <x:f>$C$14*D58</x:f>
        <x:v>0</x:v>
      </x:c>
      <x:c r="J58" s="19" t="n">
        <x:f>(E58+F58)*C58</x:f>
        <x:v>0</x:v>
      </x:c>
      <x:c r="K58" s="19" t="n">
        <x:f>(G58+H58+I58)*C58</x:f>
        <x:v>0</x:v>
      </x:c>
      <x:c r="L58" s="19" t="n">
        <x:f>L57+E58*C58-K58</x:f>
        <x:v>-2.132691212038173</x:v>
      </x:c>
      <x:c r="M58" s="19" t="n">
        <x:f>M57+J58-K58</x:f>
        <x:v>42.302361752622346</x:v>
      </x:c>
    </x:row>
    <x:row r="59" ht="24" customHeight="1">
      <x:c r="A59" s="2"/>
      <x:c r="B59" s="34" t="n">
        <x:f>B58+1</x:f>
        <x:v>34</x:v>
      </x:c>
      <x:c r="C59" s="36" t="n">
        <x:f>IF('Inputs'!$C$7="Constant",(1+'Inputs'!$C$8)^(-B59),(1+'Inputs'!$C$9)^(-MIN(B59,'Inputs'!$C$11))*(1+'Inputs'!$C$10)^(-MAX(B59-'Inputs'!$C$11,0)))</x:f>
        <x:v>0.3165487532721333</x:v>
      </x:c>
      <x:c r="D59" s="34" t="n">
        <x:f>IF(B59&lt;=$C$5,1,0)</x:f>
        <x:v>0</x:v>
      </x:c>
      <x:c r="E59" s="19" t="n">
        <x:f>$C$7*D59</x:f>
        <x:v>0</x:v>
      </x:c>
      <x:c r="F59" s="19" t="n">
        <x:f>$C$12*D59</x:f>
        <x:v>0</x:v>
      </x:c>
      <x:c r="G59" s="19" t="n">
        <x:f>0</x:f>
        <x:v>0</x:v>
      </x:c>
      <x:c r="H59" s="19" t="n">
        <x:f>$C$13*D59</x:f>
        <x:v>0</x:v>
      </x:c>
      <x:c r="I59" s="19" t="n">
        <x:f>$C$14*D59</x:f>
        <x:v>0</x:v>
      </x:c>
      <x:c r="J59" s="19" t="n">
        <x:f>(E59+F59)*C59</x:f>
        <x:v>0</x:v>
      </x:c>
      <x:c r="K59" s="19" t="n">
        <x:f>(G59+H59+I59)*C59</x:f>
        <x:v>0</x:v>
      </x:c>
      <x:c r="L59" s="19" t="n">
        <x:f>L58+E59*C59-K59</x:f>
        <x:v>-2.132691212038173</x:v>
      </x:c>
      <x:c r="M59" s="19" t="n">
        <x:f>M58+J59-K59</x:f>
        <x:v>42.302361752622346</x:v>
      </x:c>
    </x:row>
    <x:row r="60" ht="24" customHeight="1">
      <x:c r="A60" s="2"/>
      <x:c r="B60" s="34" t="n">
        <x:f>B59+1</x:f>
        <x:v>35</x:v>
      </x:c>
      <x:c r="C60" s="36" t="n">
        <x:f>IF('Inputs'!$C$7="Constant",(1+'Inputs'!$C$8)^(-B60),(1+'Inputs'!$C$9)^(-MIN(B60,'Inputs'!$C$11))*(1+'Inputs'!$C$10)^(-MAX(B60-'Inputs'!$C$11,0)))</x:f>
        <x:v>0.30732888667197406</x:v>
      </x:c>
      <x:c r="D60" s="34" t="n">
        <x:f>IF(B60&lt;=$C$5,1,0)</x:f>
        <x:v>0</x:v>
      </x:c>
      <x:c r="E60" s="19" t="n">
        <x:f>$C$7*D60</x:f>
        <x:v>0</x:v>
      </x:c>
      <x:c r="F60" s="19" t="n">
        <x:f>$C$12*D60</x:f>
        <x:v>0</x:v>
      </x:c>
      <x:c r="G60" s="19" t="n">
        <x:f>0</x:f>
        <x:v>0</x:v>
      </x:c>
      <x:c r="H60" s="19" t="n">
        <x:f>$C$13*D60</x:f>
        <x:v>0</x:v>
      </x:c>
      <x:c r="I60" s="19" t="n">
        <x:f>$C$14*D60</x:f>
        <x:v>0</x:v>
      </x:c>
      <x:c r="J60" s="19" t="n">
        <x:f>(E60+F60)*C60</x:f>
        <x:v>0</x:v>
      </x:c>
      <x:c r="K60" s="19" t="n">
        <x:f>(G60+H60+I60)*C60</x:f>
        <x:v>0</x:v>
      </x:c>
      <x:c r="L60" s="19" t="n">
        <x:f>L59+E60*C60-K60</x:f>
        <x:v>-2.132691212038173</x:v>
      </x:c>
      <x:c r="M60" s="19" t="n">
        <x:f>M59+J60-K60</x:f>
        <x:v>42.302361752622346</x:v>
      </x:c>
    </x:row>
    <x:row r="61" ht="24" customHeight="1">
      <x:c r="A61" s="2"/>
      <x:c r="B61" s="34" t="n">
        <x:f>B60+1</x:f>
        <x:v>36</x:v>
      </x:c>
      <x:c r="C61" s="36" t="n">
        <x:f>IF('Inputs'!$C$7="Constant",(1+'Inputs'!$C$8)^(-B61),(1+'Inputs'!$C$9)^(-MIN(B61,'Inputs'!$C$11))*(1+'Inputs'!$C$10)^(-MAX(B61-'Inputs'!$C$11,0)))</x:f>
        <x:v>0.29837755987570297</x:v>
      </x:c>
      <x:c r="D61" s="34" t="n">
        <x:f>IF(B61&lt;=$C$5,1,0)</x:f>
        <x:v>0</x:v>
      </x:c>
      <x:c r="E61" s="19" t="n">
        <x:f>$C$7*D61</x:f>
        <x:v>0</x:v>
      </x:c>
      <x:c r="F61" s="19" t="n">
        <x:f>$C$12*D61</x:f>
        <x:v>0</x:v>
      </x:c>
      <x:c r="G61" s="19" t="n">
        <x:f>0</x:f>
        <x:v>0</x:v>
      </x:c>
      <x:c r="H61" s="19" t="n">
        <x:f>$C$13*D61</x:f>
        <x:v>0</x:v>
      </x:c>
      <x:c r="I61" s="19" t="n">
        <x:f>$C$14*D61</x:f>
        <x:v>0</x:v>
      </x:c>
      <x:c r="J61" s="19" t="n">
        <x:f>(E61+F61)*C61</x:f>
        <x:v>0</x:v>
      </x:c>
      <x:c r="K61" s="19" t="n">
        <x:f>(G61+H61+I61)*C61</x:f>
        <x:v>0</x:v>
      </x:c>
      <x:c r="L61" s="19" t="n">
        <x:f>L60+E61*C61-K61</x:f>
        <x:v>-2.132691212038173</x:v>
      </x:c>
      <x:c r="M61" s="19" t="n">
        <x:f>M60+J61-K61</x:f>
        <x:v>42.302361752622346</x:v>
      </x:c>
    </x:row>
    <x:row r="62" ht="24" customHeight="1">
      <x:c r="A62" s="2"/>
      <x:c r="B62" s="34" t="n">
        <x:f>B61+1</x:f>
        <x:v>37</x:v>
      </x:c>
      <x:c r="C62" s="36" t="n">
        <x:f>IF('Inputs'!$C$7="Constant",(1+'Inputs'!$C$8)^(-B62),(1+'Inputs'!$C$9)^(-MIN(B62,'Inputs'!$C$11))*(1+'Inputs'!$C$10)^(-MAX(B62-'Inputs'!$C$11,0)))</x:f>
        <x:v>0.28968695133563394</x:v>
      </x:c>
      <x:c r="D62" s="34" t="n">
        <x:f>IF(B62&lt;=$C$5,1,0)</x:f>
        <x:v>0</x:v>
      </x:c>
      <x:c r="E62" s="19" t="n">
        <x:f>$C$7*D62</x:f>
        <x:v>0</x:v>
      </x:c>
      <x:c r="F62" s="19" t="n">
        <x:f>$C$12*D62</x:f>
        <x:v>0</x:v>
      </x:c>
      <x:c r="G62" s="19" t="n">
        <x:f>0</x:f>
        <x:v>0</x:v>
      </x:c>
      <x:c r="H62" s="19" t="n">
        <x:f>$C$13*D62</x:f>
        <x:v>0</x:v>
      </x:c>
      <x:c r="I62" s="19" t="n">
        <x:f>$C$14*D62</x:f>
        <x:v>0</x:v>
      </x:c>
      <x:c r="J62" s="19" t="n">
        <x:f>(E62+F62)*C62</x:f>
        <x:v>0</x:v>
      </x:c>
      <x:c r="K62" s="19" t="n">
        <x:f>(G62+H62+I62)*C62</x:f>
        <x:v>0</x:v>
      </x:c>
      <x:c r="L62" s="19" t="n">
        <x:f>L61+E62*C62-K62</x:f>
        <x:v>-2.132691212038173</x:v>
      </x:c>
      <x:c r="M62" s="19" t="n">
        <x:f>M61+J62-K62</x:f>
        <x:v>42.302361752622346</x:v>
      </x:c>
    </x:row>
    <x:row r="63" ht="24" customHeight="1">
      <x:c r="A63" s="2"/>
      <x:c r="B63" s="34" t="n">
        <x:f>B62+1</x:f>
        <x:v>38</x:v>
      </x:c>
      <x:c r="C63" s="36" t="n">
        <x:f>IF('Inputs'!$C$7="Constant",(1+'Inputs'!$C$8)^(-B63),(1+'Inputs'!$C$9)^(-MIN(B63,'Inputs'!$C$11))*(1+'Inputs'!$C$10)^(-MAX(B63-'Inputs'!$C$11,0)))</x:f>
        <x:v>0.2812494673161494</x:v>
      </x:c>
      <x:c r="D63" s="34" t="n">
        <x:f>IF(B63&lt;=$C$5,1,0)</x:f>
        <x:v>0</x:v>
      </x:c>
      <x:c r="E63" s="19" t="n">
        <x:f>$C$7*D63</x:f>
        <x:v>0</x:v>
      </x:c>
      <x:c r="F63" s="19" t="n">
        <x:f>$C$12*D63</x:f>
        <x:v>0</x:v>
      </x:c>
      <x:c r="G63" s="19" t="n">
        <x:f>0</x:f>
        <x:v>0</x:v>
      </x:c>
      <x:c r="H63" s="19" t="n">
        <x:f>$C$13*D63</x:f>
        <x:v>0</x:v>
      </x:c>
      <x:c r="I63" s="19" t="n">
        <x:f>$C$14*D63</x:f>
        <x:v>0</x:v>
      </x:c>
      <x:c r="J63" s="19" t="n">
        <x:f>(E63+F63)*C63</x:f>
        <x:v>0</x:v>
      </x:c>
      <x:c r="K63" s="19" t="n">
        <x:f>(G63+H63+I63)*C63</x:f>
        <x:v>0</x:v>
      </x:c>
      <x:c r="L63" s="19" t="n">
        <x:f>L62+E63*C63-K63</x:f>
        <x:v>-2.132691212038173</x:v>
      </x:c>
      <x:c r="M63" s="19" t="n">
        <x:f>M62+J63-K63</x:f>
        <x:v>42.302361752622346</x:v>
      </x:c>
    </x:row>
    <x:row r="64" ht="24" customHeight="1">
      <x:c r="A64" s="2"/>
      <x:c r="B64" s="34" t="n">
        <x:f>B63+1</x:f>
        <x:v>39</x:v>
      </x:c>
      <x:c r="C64" s="36" t="n">
        <x:f>IF('Inputs'!$C$7="Constant",(1+'Inputs'!$C$8)^(-B64),(1+'Inputs'!$C$9)^(-MIN(B64,'Inputs'!$C$11))*(1+'Inputs'!$C$10)^(-MAX(B64-'Inputs'!$C$11,0)))</x:f>
        <x:v>0.2730577352583975</x:v>
      </x:c>
      <x:c r="D64" s="34" t="n">
        <x:f>IF(B64&lt;=$C$5,1,0)</x:f>
        <x:v>0</x:v>
      </x:c>
      <x:c r="E64" s="19" t="n">
        <x:f>$C$7*D64</x:f>
        <x:v>0</x:v>
      </x:c>
      <x:c r="F64" s="19" t="n">
        <x:f>$C$12*D64</x:f>
        <x:v>0</x:v>
      </x:c>
      <x:c r="G64" s="19" t="n">
        <x:f>0</x:f>
        <x:v>0</x:v>
      </x:c>
      <x:c r="H64" s="19" t="n">
        <x:f>$C$13*D64</x:f>
        <x:v>0</x:v>
      </x:c>
      <x:c r="I64" s="19" t="n">
        <x:f>$C$14*D64</x:f>
        <x:v>0</x:v>
      </x:c>
      <x:c r="J64" s="19" t="n">
        <x:f>(E64+F64)*C64</x:f>
        <x:v>0</x:v>
      </x:c>
      <x:c r="K64" s="19" t="n">
        <x:f>(G64+H64+I64)*C64</x:f>
        <x:v>0</x:v>
      </x:c>
      <x:c r="L64" s="19" t="n">
        <x:f>L63+E64*C64-K64</x:f>
        <x:v>-2.132691212038173</x:v>
      </x:c>
      <x:c r="M64" s="19" t="n">
        <x:f>M63+J64-K64</x:f>
        <x:v>42.302361752622346</x:v>
      </x:c>
    </x:row>
    <x:row r="65" ht="24" customHeight="1">
      <x:c r="A65" s="2"/>
      <x:c r="B65" s="34" t="n">
        <x:f>B64+1</x:f>
        <x:v>40</x:v>
      </x:c>
      <x:c r="C65" s="36" t="n">
        <x:f>IF('Inputs'!$C$7="Constant",(1+'Inputs'!$C$8)^(-B65),(1+'Inputs'!$C$9)^(-MIN(B65,'Inputs'!$C$11))*(1+'Inputs'!$C$10)^(-MAX(B65-'Inputs'!$C$11,0)))</x:f>
        <x:v>0.26510459733825</x:v>
      </x:c>
      <x:c r="D65" s="34" t="n">
        <x:f>IF(B65&lt;=$C$5,1,0)</x:f>
        <x:v>0</x:v>
      </x:c>
      <x:c r="E65" s="19" t="n">
        <x:f>$C$7*D65</x:f>
        <x:v>0</x:v>
      </x:c>
      <x:c r="F65" s="19" t="n">
        <x:f>$C$12*D65</x:f>
        <x:v>0</x:v>
      </x:c>
      <x:c r="G65" s="19" t="n">
        <x:f>0</x:f>
        <x:v>0</x:v>
      </x:c>
      <x:c r="H65" s="19" t="n">
        <x:f>$C$13*D65</x:f>
        <x:v>0</x:v>
      </x:c>
      <x:c r="I65" s="19" t="n">
        <x:f>$C$14*D65</x:f>
        <x:v>0</x:v>
      </x:c>
      <x:c r="J65" s="19" t="n">
        <x:f>(E65+F65)*C65</x:f>
        <x:v>0</x:v>
      </x:c>
      <x:c r="K65" s="19" t="n">
        <x:f>(G65+H65+I65)*C65</x:f>
        <x:v>0</x:v>
      </x:c>
      <x:c r="L65" s="19" t="n">
        <x:f>L64+E65*C65-K65</x:f>
        <x:v>-2.132691212038173</x:v>
      </x:c>
      <x:c r="M65" s="19" t="n">
        <x:f>M64+J65-K65</x:f>
        <x:v>42.302361752622346</x:v>
      </x:c>
    </x:row>
    <x:row r="66" ht="24" customHeight="1">
      <x:c r="A66" s="2"/>
      <x:c r="B66" s="34" t="n">
        <x:f>B65+1</x:f>
        <x:v>41</x:v>
      </x:c>
      <x:c r="C66" s="36" t="n">
        <x:f>IF('Inputs'!$C$7="Constant",(1+'Inputs'!$C$8)^(-B66),(1+'Inputs'!$C$9)^(-MIN(B66,'Inputs'!$C$11))*(1+'Inputs'!$C$10)^(-MAX(B66-'Inputs'!$C$11,0)))</x:f>
        <x:v>0.2573831042118932</x:v>
      </x:c>
      <x:c r="D66" s="34" t="n">
        <x:f>IF(B66&lt;=$C$5,1,0)</x:f>
        <x:v>0</x:v>
      </x:c>
      <x:c r="E66" s="19" t="n">
        <x:f>$C$7*D66</x:f>
        <x:v>0</x:v>
      </x:c>
      <x:c r="F66" s="19" t="n">
        <x:f>$C$12*D66</x:f>
        <x:v>0</x:v>
      </x:c>
      <x:c r="G66" s="19" t="n">
        <x:f>0</x:f>
        <x:v>0</x:v>
      </x:c>
      <x:c r="H66" s="19" t="n">
        <x:f>$C$13*D66</x:f>
        <x:v>0</x:v>
      </x:c>
      <x:c r="I66" s="19" t="n">
        <x:f>$C$14*D66</x:f>
        <x:v>0</x:v>
      </x:c>
      <x:c r="J66" s="19" t="n">
        <x:f>(E66+F66)*C66</x:f>
        <x:v>0</x:v>
      </x:c>
      <x:c r="K66" s="19" t="n">
        <x:f>(G66+H66+I66)*C66</x:f>
        <x:v>0</x:v>
      </x:c>
      <x:c r="L66" s="19" t="n">
        <x:f>L65+E66*C66-K66</x:f>
        <x:v>-2.132691212038173</x:v>
      </x:c>
      <x:c r="M66" s="19" t="n">
        <x:f>M65+J66-K66</x:f>
        <x:v>42.302361752622346</x:v>
      </x:c>
    </x:row>
    <x:row r="67" ht="24" customHeight="1">
      <x:c r="A67" s="2"/>
      <x:c r="B67" s="34" t="n">
        <x:f>B66+1</x:f>
        <x:v>42</x:v>
      </x:c>
      <x:c r="C67" s="36" t="n">
        <x:f>IF('Inputs'!$C$7="Constant",(1+'Inputs'!$C$8)^(-B67),(1+'Inputs'!$C$9)^(-MIN(B67,'Inputs'!$C$11))*(1+'Inputs'!$C$10)^(-MAX(B67-'Inputs'!$C$11,0)))</x:f>
        <x:v>0.2498865089435856</x:v>
      </x:c>
      <x:c r="D67" s="34" t="n">
        <x:f>IF(B67&lt;=$C$5,1,0)</x:f>
        <x:v>0</x:v>
      </x:c>
      <x:c r="E67" s="19" t="n">
        <x:f>$C$7*D67</x:f>
        <x:v>0</x:v>
      </x:c>
      <x:c r="F67" s="19" t="n">
        <x:f>$C$12*D67</x:f>
        <x:v>0</x:v>
      </x:c>
      <x:c r="G67" s="19" t="n">
        <x:f>0</x:f>
        <x:v>0</x:v>
      </x:c>
      <x:c r="H67" s="19" t="n">
        <x:f>$C$13*D67</x:f>
        <x:v>0</x:v>
      </x:c>
      <x:c r="I67" s="19" t="n">
        <x:f>$C$14*D67</x:f>
        <x:v>0</x:v>
      </x:c>
      <x:c r="J67" s="19" t="n">
        <x:f>(E67+F67)*C67</x:f>
        <x:v>0</x:v>
      </x:c>
      <x:c r="K67" s="19" t="n">
        <x:f>(G67+H67+I67)*C67</x:f>
        <x:v>0</x:v>
      </x:c>
      <x:c r="L67" s="19" t="n">
        <x:f>L66+E67*C67-K67</x:f>
        <x:v>-2.132691212038173</x:v>
      </x:c>
      <x:c r="M67" s="19" t="n">
        <x:f>M66+J67-K67</x:f>
        <x:v>42.302361752622346</x:v>
      </x:c>
    </x:row>
    <x:row r="68" ht="24" customHeight="1">
      <x:c r="A68" s="2"/>
      <x:c r="B68" s="34" t="n">
        <x:f>B67+1</x:f>
        <x:v>43</x:v>
      </x:c>
      <x:c r="C68" s="36" t="n">
        <x:f>IF('Inputs'!$C$7="Constant",(1+'Inputs'!$C$8)^(-B68),(1+'Inputs'!$C$9)^(-MIN(B68,'Inputs'!$C$11))*(1+'Inputs'!$C$10)^(-MAX(B68-'Inputs'!$C$11,0)))</x:f>
        <x:v>0.24260826111027728</x:v>
      </x:c>
      <x:c r="D68" s="34" t="n">
        <x:f>IF(B68&lt;=$C$5,1,0)</x:f>
        <x:v>0</x:v>
      </x:c>
      <x:c r="E68" s="19" t="n">
        <x:f>$C$7*D68</x:f>
        <x:v>0</x:v>
      </x:c>
      <x:c r="F68" s="19" t="n">
        <x:f>$C$12*D68</x:f>
        <x:v>0</x:v>
      </x:c>
      <x:c r="G68" s="19" t="n">
        <x:f>0</x:f>
        <x:v>0</x:v>
      </x:c>
      <x:c r="H68" s="19" t="n">
        <x:f>$C$13*D68</x:f>
        <x:v>0</x:v>
      </x:c>
      <x:c r="I68" s="19" t="n">
        <x:f>$C$14*D68</x:f>
        <x:v>0</x:v>
      </x:c>
      <x:c r="J68" s="19" t="n">
        <x:f>(E68+F68)*C68</x:f>
        <x:v>0</x:v>
      </x:c>
      <x:c r="K68" s="19" t="n">
        <x:f>(G68+H68+I68)*C68</x:f>
        <x:v>0</x:v>
      </x:c>
      <x:c r="L68" s="19" t="n">
        <x:f>L67+E68*C68-K68</x:f>
        <x:v>-2.132691212038173</x:v>
      </x:c>
      <x:c r="M68" s="19" t="n">
        <x:f>M67+J68-K68</x:f>
        <x:v>42.302361752622346</x:v>
      </x:c>
    </x:row>
    <x:row r="69" ht="24" customHeight="1">
      <x:c r="A69" s="2"/>
      <x:c r="B69" s="34" t="n">
        <x:f>B68+1</x:f>
        <x:v>44</x:v>
      </x:c>
      <x:c r="C69" s="36" t="n">
        <x:f>IF('Inputs'!$C$7="Constant",(1+'Inputs'!$C$8)^(-B69),(1+'Inputs'!$C$9)^(-MIN(B69,'Inputs'!$C$11))*(1+'Inputs'!$C$10)^(-MAX(B69-'Inputs'!$C$11,0)))</x:f>
        <x:v>0.2355420010779391</x:v>
      </x:c>
      <x:c r="D69" s="34" t="n">
        <x:f>IF(B69&lt;=$C$5,1,0)</x:f>
        <x:v>0</x:v>
      </x:c>
      <x:c r="E69" s="19" t="n">
        <x:f>$C$7*D69</x:f>
        <x:v>0</x:v>
      </x:c>
      <x:c r="F69" s="19" t="n">
        <x:f>$C$12*D69</x:f>
        <x:v>0</x:v>
      </x:c>
      <x:c r="G69" s="19" t="n">
        <x:f>0</x:f>
        <x:v>0</x:v>
      </x:c>
      <x:c r="H69" s="19" t="n">
        <x:f>$C$13*D69</x:f>
        <x:v>0</x:v>
      </x:c>
      <x:c r="I69" s="19" t="n">
        <x:f>$C$14*D69</x:f>
        <x:v>0</x:v>
      </x:c>
      <x:c r="J69" s="19" t="n">
        <x:f>(E69+F69)*C69</x:f>
        <x:v>0</x:v>
      </x:c>
      <x:c r="K69" s="19" t="n">
        <x:f>(G69+H69+I69)*C69</x:f>
        <x:v>0</x:v>
      </x:c>
      <x:c r="L69" s="19" t="n">
        <x:f>L68+E69*C69-K69</x:f>
        <x:v>-2.132691212038173</x:v>
      </x:c>
      <x:c r="M69" s="19" t="n">
        <x:f>M68+J69-K69</x:f>
        <x:v>42.302361752622346</x:v>
      </x:c>
    </x:row>
    <x:row r="70" ht="24" customHeight="1">
      <x:c r="A70" s="2"/>
      <x:c r="B70" s="34" t="n">
        <x:f>B69+1</x:f>
        <x:v>45</x:v>
      </x:c>
      <x:c r="C70" s="36" t="n">
        <x:f>IF('Inputs'!$C$7="Constant",(1+'Inputs'!$C$8)^(-B70),(1+'Inputs'!$C$9)^(-MIN(B70,'Inputs'!$C$11))*(1+'Inputs'!$C$10)^(-MAX(B70-'Inputs'!$C$11,0)))</x:f>
        <x:v>0.2286815544446011</x:v>
      </x:c>
      <x:c r="D70" s="34" t="n">
        <x:f>IF(B70&lt;=$C$5,1,0)</x:f>
        <x:v>0</x:v>
      </x:c>
      <x:c r="E70" s="19" t="n">
        <x:f>$C$7*D70</x:f>
        <x:v>0</x:v>
      </x:c>
      <x:c r="F70" s="19" t="n">
        <x:f>$C$12*D70</x:f>
        <x:v>0</x:v>
      </x:c>
      <x:c r="G70" s="19" t="n">
        <x:f>0</x:f>
        <x:v>0</x:v>
      </x:c>
      <x:c r="H70" s="19" t="n">
        <x:f>$C$13*D70</x:f>
        <x:v>0</x:v>
      </x:c>
      <x:c r="I70" s="19" t="n">
        <x:f>$C$14*D70</x:f>
        <x:v>0</x:v>
      </x:c>
      <x:c r="J70" s="19" t="n">
        <x:f>(E70+F70)*C70</x:f>
        <x:v>0</x:v>
      </x:c>
      <x:c r="K70" s="19" t="n">
        <x:f>(G70+H70+I70)*C70</x:f>
        <x:v>0</x:v>
      </x:c>
      <x:c r="L70" s="19" t="n">
        <x:f>L69+E70*C70-K70</x:f>
        <x:v>-2.132691212038173</x:v>
      </x:c>
      <x:c r="M70" s="19" t="n">
        <x:f>M69+J70-K70</x:f>
        <x:v>42.302361752622346</x:v>
      </x:c>
    </x:row>
    <x:row r="71" ht="24" customHeight="1">
      <x:c r="A71" s="2"/>
      <x:c r="B71" s="34" t="n">
        <x:f>B70+1</x:f>
        <x:v>46</x:v>
      </x:c>
      <x:c r="C71" s="36" t="n">
        <x:f>IF('Inputs'!$C$7="Constant",(1+'Inputs'!$C$8)^(-B71),(1+'Inputs'!$C$9)^(-MIN(B71,'Inputs'!$C$11))*(1+'Inputs'!$C$10)^(-MAX(B71-'Inputs'!$C$11,0)))</x:f>
        <x:v>0.22202092664524375</x:v>
      </x:c>
      <x:c r="D71" s="34" t="n">
        <x:f>IF(B71&lt;=$C$5,1,0)</x:f>
        <x:v>0</x:v>
      </x:c>
      <x:c r="E71" s="19" t="n">
        <x:f>$C$7*D71</x:f>
        <x:v>0</x:v>
      </x:c>
      <x:c r="F71" s="19" t="n">
        <x:f>$C$12*D71</x:f>
        <x:v>0</x:v>
      </x:c>
      <x:c r="G71" s="19" t="n">
        <x:f>0</x:f>
        <x:v>0</x:v>
      </x:c>
      <x:c r="H71" s="19" t="n">
        <x:f>$C$13*D71</x:f>
        <x:v>0</x:v>
      </x:c>
      <x:c r="I71" s="19" t="n">
        <x:f>$C$14*D71</x:f>
        <x:v>0</x:v>
      </x:c>
      <x:c r="J71" s="19" t="n">
        <x:f>(E71+F71)*C71</x:f>
        <x:v>0</x:v>
      </x:c>
      <x:c r="K71" s="19" t="n">
        <x:f>(G71+H71+I71)*C71</x:f>
        <x:v>0</x:v>
      </x:c>
      <x:c r="L71" s="19" t="n">
        <x:f>L70+E71*C71-K71</x:f>
        <x:v>-2.132691212038173</x:v>
      </x:c>
      <x:c r="M71" s="19" t="n">
        <x:f>M70+J71-K71</x:f>
        <x:v>42.302361752622346</x:v>
      </x:c>
    </x:row>
    <x:row r="72" ht="24" customHeight="1">
      <x:c r="A72" s="2"/>
      <x:c r="B72" s="34" t="n">
        <x:f>B71+1</x:f>
        <x:v>47</x:v>
      </x:c>
      <x:c r="C72" s="36" t="n">
        <x:f>IF('Inputs'!$C$7="Constant",(1+'Inputs'!$C$8)^(-B72),(1+'Inputs'!$C$9)^(-MIN(B72,'Inputs'!$C$11))*(1+'Inputs'!$C$10)^(-MAX(B72-'Inputs'!$C$11,0)))</x:f>
        <x:v>0.21555429771382886</x:v>
      </x:c>
      <x:c r="D72" s="34" t="n">
        <x:f>IF(B72&lt;=$C$5,1,0)</x:f>
        <x:v>0</x:v>
      </x:c>
      <x:c r="E72" s="19" t="n">
        <x:f>$C$7*D72</x:f>
        <x:v>0</x:v>
      </x:c>
      <x:c r="F72" s="19" t="n">
        <x:f>$C$12*D72</x:f>
        <x:v>0</x:v>
      </x:c>
      <x:c r="G72" s="19" t="n">
        <x:f>0</x:f>
        <x:v>0</x:v>
      </x:c>
      <x:c r="H72" s="19" t="n">
        <x:f>$C$13*D72</x:f>
        <x:v>0</x:v>
      </x:c>
      <x:c r="I72" s="19" t="n">
        <x:f>$C$14*D72</x:f>
        <x:v>0</x:v>
      </x:c>
      <x:c r="J72" s="19" t="n">
        <x:f>(E72+F72)*C72</x:f>
        <x:v>0</x:v>
      </x:c>
      <x:c r="K72" s="19" t="n">
        <x:f>(G72+H72+I72)*C72</x:f>
        <x:v>0</x:v>
      </x:c>
      <x:c r="L72" s="19" t="n">
        <x:f>L71+E72*C72-K72</x:f>
        <x:v>-2.132691212038173</x:v>
      </x:c>
      <x:c r="M72" s="19" t="n">
        <x:f>M71+J72-K72</x:f>
        <x:v>42.302361752622346</x:v>
      </x:c>
    </x:row>
    <x:row r="73" ht="24" customHeight="1">
      <x:c r="A73" s="2"/>
      <x:c r="B73" s="34" t="n">
        <x:f>B72+1</x:f>
        <x:v>48</x:v>
      </x:c>
      <x:c r="C73" s="36" t="n">
        <x:f>IF('Inputs'!$C$7="Constant",(1+'Inputs'!$C$8)^(-B73),(1+'Inputs'!$C$9)^(-MIN(B73,'Inputs'!$C$11))*(1+'Inputs'!$C$10)^(-MAX(B73-'Inputs'!$C$11,0)))</x:f>
        <x:v>0.2092760171978921</x:v>
      </x:c>
      <x:c r="D73" s="34" t="n">
        <x:f>IF(B73&lt;=$C$5,1,0)</x:f>
        <x:v>0</x:v>
      </x:c>
      <x:c r="E73" s="19" t="n">
        <x:f>$C$7*D73</x:f>
        <x:v>0</x:v>
      </x:c>
      <x:c r="F73" s="19" t="n">
        <x:f>$C$12*D73</x:f>
        <x:v>0</x:v>
      </x:c>
      <x:c r="G73" s="19" t="n">
        <x:f>0</x:f>
        <x:v>0</x:v>
      </x:c>
      <x:c r="H73" s="19" t="n">
        <x:f>$C$13*D73</x:f>
        <x:v>0</x:v>
      </x:c>
      <x:c r="I73" s="19" t="n">
        <x:f>$C$14*D73</x:f>
        <x:v>0</x:v>
      </x:c>
      <x:c r="J73" s="19" t="n">
        <x:f>(E73+F73)*C73</x:f>
        <x:v>0</x:v>
      </x:c>
      <x:c r="K73" s="19" t="n">
        <x:f>(G73+H73+I73)*C73</x:f>
        <x:v>0</x:v>
      </x:c>
      <x:c r="L73" s="19" t="n">
        <x:f>L72+E73*C73-K73</x:f>
        <x:v>-2.132691212038173</x:v>
      </x:c>
      <x:c r="M73" s="19" t="n">
        <x:f>M72+J73-K73</x:f>
        <x:v>42.302361752622346</x:v>
      </x:c>
    </x:row>
    <x:row r="74" ht="24" customHeight="1">
      <x:c r="A74" s="2"/>
      <x:c r="B74" s="34" t="n">
        <x:f>B73+1</x:f>
        <x:v>49</x:v>
      </x:c>
      <x:c r="C74" s="36" t="n">
        <x:f>IF('Inputs'!$C$7="Constant",(1+'Inputs'!$C$8)^(-B74),(1+'Inputs'!$C$9)^(-MIN(B74,'Inputs'!$C$11))*(1+'Inputs'!$C$10)^(-MAX(B74-'Inputs'!$C$11,0)))</x:f>
        <x:v>0.20318059922125448</x:v>
      </x:c>
      <x:c r="D74" s="34" t="n">
        <x:f>IF(B74&lt;=$C$5,1,0)</x:f>
        <x:v>0</x:v>
      </x:c>
      <x:c r="E74" s="19" t="n">
        <x:f>$C$7*D74</x:f>
        <x:v>0</x:v>
      </x:c>
      <x:c r="F74" s="19" t="n">
        <x:f>$C$12*D74</x:f>
        <x:v>0</x:v>
      </x:c>
      <x:c r="G74" s="19" t="n">
        <x:f>0</x:f>
        <x:v>0</x:v>
      </x:c>
      <x:c r="H74" s="19" t="n">
        <x:f>$C$13*D74</x:f>
        <x:v>0</x:v>
      </x:c>
      <x:c r="I74" s="19" t="n">
        <x:f>$C$14*D74</x:f>
        <x:v>0</x:v>
      </x:c>
      <x:c r="J74" s="19" t="n">
        <x:f>(E74+F74)*C74</x:f>
        <x:v>0</x:v>
      </x:c>
      <x:c r="K74" s="19" t="n">
        <x:f>(G74+H74+I74)*C74</x:f>
        <x:v>0</x:v>
      </x:c>
      <x:c r="L74" s="19" t="n">
        <x:f>L73+E74*C74-K74</x:f>
        <x:v>-2.132691212038173</x:v>
      </x:c>
      <x:c r="M74" s="19" t="n">
        <x:f>M73+J74-K74</x:f>
        <x:v>42.302361752622346</x:v>
      </x:c>
    </x:row>
    <x:row r="75" ht="24" customHeight="1">
      <x:c r="A75" s="2"/>
      <x:c r="B75" s="34" t="n">
        <x:f>B74+1</x:f>
        <x:v>50</x:v>
      </x:c>
      <x:c r="C75" s="36" t="n">
        <x:f>IF('Inputs'!$C$7="Constant",(1+'Inputs'!$C$8)^(-B75),(1+'Inputs'!$C$9)^(-MIN(B75,'Inputs'!$C$11))*(1+'Inputs'!$C$10)^(-MAX(B75-'Inputs'!$C$11,0)))</x:f>
        <x:v>0.19726271769053833</x:v>
      </x:c>
      <x:c r="D75" s="34" t="n">
        <x:f>IF(B75&lt;=$C$5,1,0)</x:f>
        <x:v>0</x:v>
      </x:c>
      <x:c r="E75" s="19" t="n">
        <x:f>$C$7*D75</x:f>
        <x:v>0</x:v>
      </x:c>
      <x:c r="F75" s="19" t="n">
        <x:f>$C$12*D75</x:f>
        <x:v>0</x:v>
      </x:c>
      <x:c r="G75" s="19" t="n">
        <x:f>0</x:f>
        <x:v>0</x:v>
      </x:c>
      <x:c r="H75" s="19" t="n">
        <x:f>$C$13*D75</x:f>
        <x:v>0</x:v>
      </x:c>
      <x:c r="I75" s="19" t="n">
        <x:f>$C$14*D75</x:f>
        <x:v>0</x:v>
      </x:c>
      <x:c r="J75" s="19" t="n">
        <x:f>(E75+F75)*C75</x:f>
        <x:v>0</x:v>
      </x:c>
      <x:c r="K75" s="19" t="n">
        <x:f>(G75+H75+I75)*C75</x:f>
        <x:v>0</x:v>
      </x:c>
      <x:c r="L75" s="19" t="n">
        <x:f>L74+E75*C75-K75</x:f>
        <x:v>-2.132691212038173</x:v>
      </x:c>
      <x:c r="M75" s="19" t="n">
        <x:f>M74+J75-K75</x:f>
        <x:v>42.302361752622346</x:v>
      </x:c>
    </x:row>
    <x:row r="76" ht="24" customHeight="1">
      <x:c r="A76" s="2"/>
      <x:c r="B76" s="34" t="n">
        <x:f>B75+1</x:f>
        <x:v>51</x:v>
      </x:c>
      <x:c r="C76" s="36" t="n">
        <x:f>IF('Inputs'!$C$7="Constant",(1+'Inputs'!$C$8)^(-B76),(1+'Inputs'!$C$9)^(-MIN(B76,'Inputs'!$C$11))*(1+'Inputs'!$C$10)^(-MAX(B76-'Inputs'!$C$11,0)))</x:f>
        <x:v>0.19151720164129934</x:v>
      </x:c>
      <x:c r="D76" s="34" t="n">
        <x:f>IF(B76&lt;=$C$5,1,0)</x:f>
        <x:v>0</x:v>
      </x:c>
      <x:c r="E76" s="19" t="n">
        <x:f>$C$7*D76</x:f>
        <x:v>0</x:v>
      </x:c>
      <x:c r="F76" s="19" t="n">
        <x:f>$C$12*D76</x:f>
        <x:v>0</x:v>
      </x:c>
      <x:c r="G76" s="19" t="n">
        <x:f>0</x:f>
        <x:v>0</x:v>
      </x:c>
      <x:c r="H76" s="19" t="n">
        <x:f>$C$13*D76</x:f>
        <x:v>0</x:v>
      </x:c>
      <x:c r="I76" s="19" t="n">
        <x:f>$C$14*D76</x:f>
        <x:v>0</x:v>
      </x:c>
      <x:c r="J76" s="19" t="n">
        <x:f>(E76+F76)*C76</x:f>
        <x:v>0</x:v>
      </x:c>
      <x:c r="K76" s="19" t="n">
        <x:f>(G76+H76+I76)*C76</x:f>
        <x:v>0</x:v>
      </x:c>
      <x:c r="L76" s="19" t="n">
        <x:f>L75+E76*C76-K76</x:f>
        <x:v>-2.132691212038173</x:v>
      </x:c>
      <x:c r="M76" s="19" t="n">
        <x:f>M75+J76-K76</x:f>
        <x:v>42.302361752622346</x:v>
      </x:c>
    </x:row>
    <x:row r="77" ht="24" customHeight="1">
      <x:c r="A77" s="2"/>
      <x:c r="B77" s="34" t="n">
        <x:f>B76+1</x:f>
        <x:v>52</x:v>
      </x:c>
      <x:c r="C77" s="36" t="n">
        <x:f>IF('Inputs'!$C$7="Constant",(1+'Inputs'!$C$8)^(-B77),(1+'Inputs'!$C$9)^(-MIN(B77,'Inputs'!$C$11))*(1+'Inputs'!$C$10)^(-MAX(B77-'Inputs'!$C$11,0)))</x:f>
        <x:v>0.1859390307197081</x:v>
      </x:c>
      <x:c r="D77" s="34" t="n">
        <x:f>IF(B77&lt;=$C$5,1,0)</x:f>
        <x:v>0</x:v>
      </x:c>
      <x:c r="E77" s="19" t="n">
        <x:f>$C$7*D77</x:f>
        <x:v>0</x:v>
      </x:c>
      <x:c r="F77" s="19" t="n">
        <x:f>$C$12*D77</x:f>
        <x:v>0</x:v>
      </x:c>
      <x:c r="G77" s="19" t="n">
        <x:f>0</x:f>
        <x:v>0</x:v>
      </x:c>
      <x:c r="H77" s="19" t="n">
        <x:f>$C$13*D77</x:f>
        <x:v>0</x:v>
      </x:c>
      <x:c r="I77" s="19" t="n">
        <x:f>$C$14*D77</x:f>
        <x:v>0</x:v>
      </x:c>
      <x:c r="J77" s="19" t="n">
        <x:f>(E77+F77)*C77</x:f>
        <x:v>0</x:v>
      </x:c>
      <x:c r="K77" s="19" t="n">
        <x:f>(G77+H77+I77)*C77</x:f>
        <x:v>0</x:v>
      </x:c>
      <x:c r="L77" s="19" t="n">
        <x:f>L76+E77*C77-K77</x:f>
        <x:v>-2.132691212038173</x:v>
      </x:c>
      <x:c r="M77" s="19" t="n">
        <x:f>M76+J77-K77</x:f>
        <x:v>42.302361752622346</x:v>
      </x:c>
    </x:row>
    <x:row r="78" ht="24" customHeight="1">
      <x:c r="A78" s="2"/>
      <x:c r="B78" s="34" t="n">
        <x:f>B77+1</x:f>
        <x:v>53</x:v>
      </x:c>
      <x:c r="C78" s="36" t="n">
        <x:f>IF('Inputs'!$C$7="Constant",(1+'Inputs'!$C$8)^(-B78),(1+'Inputs'!$C$9)^(-MIN(B78,'Inputs'!$C$11))*(1+'Inputs'!$C$10)^(-MAX(B78-'Inputs'!$C$11,0)))</x:f>
        <x:v>0.1805233307958331</x:v>
      </x:c>
      <x:c r="D78" s="34" t="n">
        <x:f>IF(B78&lt;=$C$5,1,0)</x:f>
        <x:v>0</x:v>
      </x:c>
      <x:c r="E78" s="19" t="n">
        <x:f>$C$7*D78</x:f>
        <x:v>0</x:v>
      </x:c>
      <x:c r="F78" s="19" t="n">
        <x:f>$C$12*D78</x:f>
        <x:v>0</x:v>
      </x:c>
      <x:c r="G78" s="19" t="n">
        <x:f>0</x:f>
        <x:v>0</x:v>
      </x:c>
      <x:c r="H78" s="19" t="n">
        <x:f>$C$13*D78</x:f>
        <x:v>0</x:v>
      </x:c>
      <x:c r="I78" s="19" t="n">
        <x:f>$C$14*D78</x:f>
        <x:v>0</x:v>
      </x:c>
      <x:c r="J78" s="19" t="n">
        <x:f>(E78+F78)*C78</x:f>
        <x:v>0</x:v>
      </x:c>
      <x:c r="K78" s="19" t="n">
        <x:f>(G78+H78+I78)*C78</x:f>
        <x:v>0</x:v>
      </x:c>
      <x:c r="L78" s="19" t="n">
        <x:f>L77+E78*C78-K78</x:f>
        <x:v>-2.132691212038173</x:v>
      </x:c>
      <x:c r="M78" s="19" t="n">
        <x:f>M77+J78-K78</x:f>
        <x:v>42.302361752622346</x:v>
      </x:c>
    </x:row>
    <x:row r="79" ht="24" customHeight="1">
      <x:c r="A79" s="2"/>
      <x:c r="B79" s="34" t="n">
        <x:f>B78+1</x:f>
        <x:v>54</x:v>
      </x:c>
      <x:c r="C79" s="36" t="n">
        <x:f>IF('Inputs'!$C$7="Constant",(1+'Inputs'!$C$8)^(-B79),(1+'Inputs'!$C$9)^(-MIN(B79,'Inputs'!$C$11))*(1+'Inputs'!$C$10)^(-MAX(B79-'Inputs'!$C$11,0)))</x:f>
        <x:v>0.1752653697046923</x:v>
      </x:c>
      <x:c r="D79" s="34" t="n">
        <x:f>IF(B79&lt;=$C$5,1,0)</x:f>
        <x:v>0</x:v>
      </x:c>
      <x:c r="E79" s="19" t="n">
        <x:f>$C$7*D79</x:f>
        <x:v>0</x:v>
      </x:c>
      <x:c r="F79" s="19" t="n">
        <x:f>$C$12*D79</x:f>
        <x:v>0</x:v>
      </x:c>
      <x:c r="G79" s="19" t="n">
        <x:f>0</x:f>
        <x:v>0</x:v>
      </x:c>
      <x:c r="H79" s="19" t="n">
        <x:f>$C$13*D79</x:f>
        <x:v>0</x:v>
      </x:c>
      <x:c r="I79" s="19" t="n">
        <x:f>$C$14*D79</x:f>
        <x:v>0</x:v>
      </x:c>
      <x:c r="J79" s="19" t="n">
        <x:f>(E79+F79)*C79</x:f>
        <x:v>0</x:v>
      </x:c>
      <x:c r="K79" s="19" t="n">
        <x:f>(G79+H79+I79)*C79</x:f>
        <x:v>0</x:v>
      </x:c>
      <x:c r="L79" s="19" t="n">
        <x:f>L78+E79*C79-K79</x:f>
        <x:v>-2.132691212038173</x:v>
      </x:c>
      <x:c r="M79" s="19" t="n">
        <x:f>M78+J79-K79</x:f>
        <x:v>42.302361752622346</x:v>
      </x:c>
    </x:row>
    <x:row r="80" ht="24" customHeight="1">
      <x:c r="A80" s="2"/>
      <x:c r="B80" s="34" t="n">
        <x:f>B79+1</x:f>
        <x:v>55</x:v>
      </x:c>
      <x:c r="C80" s="36" t="n">
        <x:f>IF('Inputs'!$C$7="Constant",(1+'Inputs'!$C$8)^(-B80),(1+'Inputs'!$C$9)^(-MIN(B80,'Inputs'!$C$11))*(1+'Inputs'!$C$10)^(-MAX(B80-'Inputs'!$C$11,0)))</x:f>
        <x:v>0.17016055311135175</x:v>
      </x:c>
      <x:c r="D80" s="34" t="n">
        <x:f>IF(B80&lt;=$C$5,1,0)</x:f>
        <x:v>0</x:v>
      </x:c>
      <x:c r="E80" s="19" t="n">
        <x:f>$C$7*D80</x:f>
        <x:v>0</x:v>
      </x:c>
      <x:c r="F80" s="19" t="n">
        <x:f>$C$12*D80</x:f>
        <x:v>0</x:v>
      </x:c>
      <x:c r="G80" s="19" t="n">
        <x:f>0</x:f>
        <x:v>0</x:v>
      </x:c>
      <x:c r="H80" s="19" t="n">
        <x:f>$C$13*D80</x:f>
        <x:v>0</x:v>
      </x:c>
      <x:c r="I80" s="19" t="n">
        <x:f>$C$14*D80</x:f>
        <x:v>0</x:v>
      </x:c>
      <x:c r="J80" s="19" t="n">
        <x:f>(E80+F80)*C80</x:f>
        <x:v>0</x:v>
      </x:c>
      <x:c r="K80" s="19" t="n">
        <x:f>(G80+H80+I80)*C80</x:f>
        <x:v>0</x:v>
      </x:c>
      <x:c r="L80" s="19" t="n">
        <x:f>L79+E80*C80-K80</x:f>
        <x:v>-2.132691212038173</x:v>
      </x:c>
      <x:c r="M80" s="19" t="n">
        <x:f>M79+J80-K80</x:f>
        <x:v>42.302361752622346</x:v>
      </x:c>
    </x:row>
    <x:row r="81" ht="24" customHeight="1">
      <x:c r="A81" s="2"/>
      <x:c r="B81" s="34" t="n">
        <x:f>B80+1</x:f>
        <x:v>56</x:v>
      </x:c>
      <x:c r="C81" s="36" t="n">
        <x:f>IF('Inputs'!$C$7="Constant",(1+'Inputs'!$C$8)^(-B81),(1+'Inputs'!$C$9)^(-MIN(B81,'Inputs'!$C$11))*(1+'Inputs'!$C$10)^(-MAX(B81-'Inputs'!$C$11,0)))</x:f>
        <x:v>0.165204420496458</x:v>
      </x:c>
      <x:c r="D81" s="34" t="n">
        <x:f>IF(B81&lt;=$C$5,1,0)</x:f>
        <x:v>0</x:v>
      </x:c>
      <x:c r="E81" s="19" t="n">
        <x:f>$C$7*D81</x:f>
        <x:v>0</x:v>
      </x:c>
      <x:c r="F81" s="19" t="n">
        <x:f>$C$12*D81</x:f>
        <x:v>0</x:v>
      </x:c>
      <x:c r="G81" s="19" t="n">
        <x:f>0</x:f>
        <x:v>0</x:v>
      </x:c>
      <x:c r="H81" s="19" t="n">
        <x:f>$C$13*D81</x:f>
        <x:v>0</x:v>
      </x:c>
      <x:c r="I81" s="19" t="n">
        <x:f>$C$14*D81</x:f>
        <x:v>0</x:v>
      </x:c>
      <x:c r="J81" s="19" t="n">
        <x:f>(E81+F81)*C81</x:f>
        <x:v>0</x:v>
      </x:c>
      <x:c r="K81" s="19" t="n">
        <x:f>(G81+H81+I81)*C81</x:f>
        <x:v>0</x:v>
      </x:c>
      <x:c r="L81" s="19" t="n">
        <x:f>L80+E81*C81-K81</x:f>
        <x:v>-2.132691212038173</x:v>
      </x:c>
      <x:c r="M81" s="19" t="n">
        <x:f>M80+J81-K81</x:f>
        <x:v>42.302361752622346</x:v>
      </x:c>
    </x:row>
    <x:row r="82" ht="24" customHeight="1">
      <x:c r="A82" s="2"/>
      <x:c r="B82" s="34" t="n">
        <x:f>B81+1</x:f>
        <x:v>57</x:v>
      </x:c>
      <x:c r="C82" s="36" t="n">
        <x:f>IF('Inputs'!$C$7="Constant",(1+'Inputs'!$C$8)^(-B82),(1+'Inputs'!$C$9)^(-MIN(B82,'Inputs'!$C$11))*(1+'Inputs'!$C$10)^(-MAX(B82-'Inputs'!$C$11,0)))</x:f>
        <x:v>0.1603926412586971</x:v>
      </x:c>
      <x:c r="D82" s="34" t="n">
        <x:f>IF(B82&lt;=$C$5,1,0)</x:f>
        <x:v>0</x:v>
      </x:c>
      <x:c r="E82" s="19" t="n">
        <x:f>$C$7*D82</x:f>
        <x:v>0</x:v>
      </x:c>
      <x:c r="F82" s="19" t="n">
        <x:f>$C$12*D82</x:f>
        <x:v>0</x:v>
      </x:c>
      <x:c r="G82" s="19" t="n">
        <x:f>0</x:f>
        <x:v>0</x:v>
      </x:c>
      <x:c r="H82" s="19" t="n">
        <x:f>$C$13*D82</x:f>
        <x:v>0</x:v>
      </x:c>
      <x:c r="I82" s="19" t="n">
        <x:f>$C$14*D82</x:f>
        <x:v>0</x:v>
      </x:c>
      <x:c r="J82" s="19" t="n">
        <x:f>(E82+F82)*C82</x:f>
        <x:v>0</x:v>
      </x:c>
      <x:c r="K82" s="19" t="n">
        <x:f>(G82+H82+I82)*C82</x:f>
        <x:v>0</x:v>
      </x:c>
      <x:c r="L82" s="19" t="n">
        <x:f>L81+E82*C82-K82</x:f>
        <x:v>-2.132691212038173</x:v>
      </x:c>
      <x:c r="M82" s="19" t="n">
        <x:f>M81+J82-K82</x:f>
        <x:v>42.302361752622346</x:v>
      </x:c>
    </x:row>
    <x:row r="83" ht="24" customHeight="1">
      <x:c r="A83" s="2"/>
      <x:c r="B83" s="34" t="n">
        <x:f>B82+1</x:f>
        <x:v>58</x:v>
      </x:c>
      <x:c r="C83" s="36" t="n">
        <x:f>IF('Inputs'!$C$7="Constant",(1+'Inputs'!$C$8)^(-B83),(1+'Inputs'!$C$9)^(-MIN(B83,'Inputs'!$C$11))*(1+'Inputs'!$C$10)^(-MAX(B83-'Inputs'!$C$11,0)))</x:f>
        <x:v>0.15572101093077387</x:v>
      </x:c>
      <x:c r="D83" s="34" t="n">
        <x:f>IF(B83&lt;=$C$5,1,0)</x:f>
        <x:v>0</x:v>
      </x:c>
      <x:c r="E83" s="19" t="n">
        <x:f>$C$7*D83</x:f>
        <x:v>0</x:v>
      </x:c>
      <x:c r="F83" s="19" t="n">
        <x:f>$C$12*D83</x:f>
        <x:v>0</x:v>
      </x:c>
      <x:c r="G83" s="19" t="n">
        <x:f>0</x:f>
        <x:v>0</x:v>
      </x:c>
      <x:c r="H83" s="19" t="n">
        <x:f>$C$13*D83</x:f>
        <x:v>0</x:v>
      </x:c>
      <x:c r="I83" s="19" t="n">
        <x:f>$C$14*D83</x:f>
        <x:v>0</x:v>
      </x:c>
      <x:c r="J83" s="19" t="n">
        <x:f>(E83+F83)*C83</x:f>
        <x:v>0</x:v>
      </x:c>
      <x:c r="K83" s="19" t="n">
        <x:f>(G83+H83+I83)*C83</x:f>
        <x:v>0</x:v>
      </x:c>
      <x:c r="L83" s="19" t="n">
        <x:f>L82+E83*C83-K83</x:f>
        <x:v>-2.132691212038173</x:v>
      </x:c>
      <x:c r="M83" s="19" t="n">
        <x:f>M82+J83-K83</x:f>
        <x:v>42.302361752622346</x:v>
      </x:c>
    </x:row>
    <x:row r="84" ht="24" customHeight="1">
      <x:c r="A84" s="2"/>
      <x:c r="B84" s="34" t="n">
        <x:f>B83+1</x:f>
        <x:v>59</x:v>
      </x:c>
      <x:c r="C84" s="36" t="n">
        <x:f>IF('Inputs'!$C$7="Constant",(1+'Inputs'!$C$8)^(-B84),(1+'Inputs'!$C$9)^(-MIN(B84,'Inputs'!$C$11))*(1+'Inputs'!$C$10)^(-MAX(B84-'Inputs'!$C$11,0)))</x:f>
        <x:v>0.1511854475056057</x:v>
      </x:c>
      <x:c r="D84" s="34" t="n">
        <x:f>IF(B84&lt;=$C$5,1,0)</x:f>
        <x:v>0</x:v>
      </x:c>
      <x:c r="E84" s="19" t="n">
        <x:f>$C$7*D84</x:f>
        <x:v>0</x:v>
      </x:c>
      <x:c r="F84" s="19" t="n">
        <x:f>$C$12*D84</x:f>
        <x:v>0</x:v>
      </x:c>
      <x:c r="G84" s="19" t="n">
        <x:f>0</x:f>
        <x:v>0</x:v>
      </x:c>
      <x:c r="H84" s="19" t="n">
        <x:f>$C$13*D84</x:f>
        <x:v>0</x:v>
      </x:c>
      <x:c r="I84" s="19" t="n">
        <x:f>$C$14*D84</x:f>
        <x:v>0</x:v>
      </x:c>
      <x:c r="J84" s="19" t="n">
        <x:f>(E84+F84)*C84</x:f>
        <x:v>0</x:v>
      </x:c>
      <x:c r="K84" s="19" t="n">
        <x:f>(G84+H84+I84)*C84</x:f>
        <x:v>0</x:v>
      </x:c>
      <x:c r="L84" s="19" t="n">
        <x:f>L83+E84*C84-K84</x:f>
        <x:v>-2.132691212038173</x:v>
      </x:c>
      <x:c r="M84" s="19" t="n">
        <x:f>M83+J84-K84</x:f>
        <x:v>42.302361752622346</x:v>
      </x:c>
    </x:row>
    <x:row r="85" ht="24" customHeight="1">
      <x:c r="A85" s="2"/>
      <x:c r="B85" s="34" t="n">
        <x:f>B84+1</x:f>
        <x:v>60</x:v>
      </x:c>
      <x:c r="C85" s="36" t="n">
        <x:f>IF('Inputs'!$C$7="Constant",(1+'Inputs'!$C$8)^(-B85),(1+'Inputs'!$C$9)^(-MIN(B85,'Inputs'!$C$11))*(1+'Inputs'!$C$10)^(-MAX(B85-'Inputs'!$C$11,0)))</x:f>
        <x:v>0.1467819878695201</x:v>
      </x:c>
      <x:c r="D85" s="34" t="n">
        <x:f>IF(B85&lt;=$C$5,1,0)</x:f>
        <x:v>0</x:v>
      </x:c>
      <x:c r="E85" s="19" t="n">
        <x:f>$C$7*D85</x:f>
        <x:v>0</x:v>
      </x:c>
      <x:c r="F85" s="19" t="n">
        <x:f>$C$12*D85</x:f>
        <x:v>0</x:v>
      </x:c>
      <x:c r="G85" s="19" t="n">
        <x:f>0</x:f>
        <x:v>0</x:v>
      </x:c>
      <x:c r="H85" s="19" t="n">
        <x:f>$C$13*D85</x:f>
        <x:v>0</x:v>
      </x:c>
      <x:c r="I85" s="19" t="n">
        <x:f>$C$14*D85</x:f>
        <x:v>0</x:v>
      </x:c>
      <x:c r="J85" s="19" t="n">
        <x:f>(E85+F85)*C85</x:f>
        <x:v>0</x:v>
      </x:c>
      <x:c r="K85" s="19" t="n">
        <x:f>(G85+H85+I85)*C85</x:f>
        <x:v>0</x:v>
      </x:c>
      <x:c r="L85" s="19" t="n">
        <x:f>L84+E85*C85-K85</x:f>
        <x:v>-2.132691212038173</x:v>
      </x:c>
      <x:c r="M85" s="19" t="n">
        <x:f>M84+J85-K85</x:f>
        <x:v>42.302361752622346</x:v>
      </x:c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 ht="28" customHeight="1">
      <x:c r="A89" s="2"/>
      <x:c r="B89" s="7" t="str">
        <x:v>Public-cost estimate</x:v>
      </x:c>
      <x:c r="C89" s="7" t="str">
        <x:v>2025 $m</x:v>
      </x:c>
      <x:c r="D89" s="7" t="str"/>
      <x:c r="E89" s="7" t="str"/>
      <x:c r="F89" s="2"/>
      <x:c r="G89" s="2"/>
      <x:c r="H89" s="2"/>
      <x:c r="I89" s="2"/>
      <x:c r="J89" s="2"/>
      <x:c r="K89" s="2"/>
      <x:c r="L89" s="2"/>
      <x:c r="M89" s="2"/>
    </x:row>
    <x:row r="90" ht="24" customHeight="1">
      <x:c r="A90" s="2"/>
      <x:c r="B90" s="2" t="str">
        <x:v>Long Draw cost proxy</x:v>
      </x:c>
      <x:c r="C90" s="38" t="n">
        <x:f>'Inputs'!C34*(1+'Inputs'!C12)^('Inputs'!C42-'Inputs'!C35)</x:f>
        <x:v>35.72125</x:v>
      </x:c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 ht="24" customHeight="1">
      <x:c r="A91" s="2"/>
      <x:c r="B91" s="2" t="str">
        <x:v>Fiddlewood reconductoring</x:v>
      </x:c>
      <x:c r="C91" s="38" t="n">
        <x:f>'Inputs'!C36*'Inputs'!C37/(1+'Inputs'!C40)*(1+'Inputs'!C12)^('Inputs'!C42-'Inputs'!C41)</x:f>
        <x:v>22.085841860465116</x:v>
      </x:c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 ht="24" customHeight="1">
      <x:c r="A92" s="2"/>
      <x:c r="B92" s="2" t="str">
        <x:v>Terminal allowance</x:v>
      </x:c>
      <x:c r="C92" s="38" t="n">
        <x:f>'Inputs'!C38*'Inputs'!C39/(1+'Inputs'!C40)*(1+'Inputs'!C12)^('Inputs'!C42-'Inputs'!C41)</x:f>
        <x:v>6.483720930232558</x:v>
      </x:c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 ht="24" customHeight="1">
      <x:c r="A93" s="2"/>
      <x:c r="B93" s="2" t="str">
        <x:v>Estimated total</x:v>
      </x:c>
      <x:c r="C93" s="25" t="n">
        <x:f>SUM(C90:C92)</x:f>
        <x:v>64.29081279069767</x:v>
      </x:c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 ht="40" customHeight="1">
      <x:c r="A94" s="2"/>
      <x:c r="B94" s="2" t="str">
        <x:v>Reference cost (source rounding)</x:v>
      </x:c>
      <x:c r="C94" s="25" t="n">
        <x:f>ROUND(C93*(1+Inputs!C12)^(2029-Inputs!C13),0)/(1+Inputs!C12)^(2029-Inputs!C13)</x:f>
        <x:v>64.32249578078262</x:v>
      </x:c>
      <x:c r="D94" s="2"/>
      <x:c r="E94" s="15" t="str">
        <x:v>Rounded in 2029 source prices, then converted to 2025.</x:v>
      </x:c>
      <x:c r="F94" s="2"/>
      <x:c r="G94" s="2"/>
      <x:c r="H94" s="2"/>
      <x:c r="I94" s="2"/>
      <x:c r="J94" s="2"/>
      <x:c r="K94" s="2"/>
      <x:c r="L94" s="2"/>
      <x:c r="M94" s="2"/>
    </x:row>
    <x:row r="95" ht="24" customHeight="1">
      <x:c r="A95" s="2"/>
      <x:c r="B95" s="2" t="str">
        <x:v>Selected cost</x:v>
      </x:c>
      <x:c r="C95" s="38" t="n">
        <x:f>'Inputs'!D25</x:f>
        <x:v>64.32249578078262</x:v>
      </x:c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 ht="24" customHeight="1">
      <x:c r="A97" s="2"/>
      <x:c r="B97" s="2" t="str">
        <x:v>Scope assumption: reusable structures and rights-of-way achieve the capability modeled by ERCOT.</x:v>
      </x:c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 ht="24" customHeight="1">
      <x:c r="A98" s="2"/>
      <x:c r="B98" s="2" t="str">
        <x:v>Public estimates support testing a low-cost upgrade; its capability remains assumed.</x:v>
      </x:c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</x:sheetData>
  <x:mergeCells>
    <x:mergeCell ref="E94:H94"/>
  </x:mergeCells>
  <x:conditionalFormatting sqref="B25:M85">
    <x:cfRule type="expression" dxfId="1" priority="1">
      <x:formula>$B25&gt;$C$5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9495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10" max="10" width="3" hidden="0" customWidth="1"/>
    <x:col min="2" max="2" width="21" hidden="0" customWidth="1"/>
    <x:col min="3" max="3" width="16" hidden="0" customWidth="1"/>
    <x:col min="4" max="4" width="15" hidden="0" customWidth="1"/>
    <x:col min="5" max="5" width="20" hidden="0" customWidth="1"/>
    <x:col min="6" max="6" width="16" hidden="0" customWidth="1"/>
    <x:col min="7" max="7" width="16" hidden="0" customWidth="1"/>
    <x:col min="8" max="8" width="23" hidden="0" customWidth="1"/>
    <x:col min="9" max="9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2"/>
      <x:c r="B2" s="3" t="str">
        <x:v>Farmland: scenario comparison</x:v>
      </x:c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56" t="str">
        <x:v>Money in real 2025 USD, $m. NPV and B/C include climate benefits. Blue cells can be changed.</x:v>
      </x:c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60" t="str">
        <x:v>Reference capex</x:v>
      </x:c>
      <x:c r="C5" s="61" t="n">
        <x:f>'Option 2'!C94</x:f>
        <x:v>64.32249578078262</x:v>
      </x:c>
      <x:c r="D5" s="60"/>
      <x:c r="E5" s="60" t="str">
        <x:v>Current horizon</x:v>
      </x:c>
      <x:c r="F5" s="62" t="n">
        <x:f>'Inputs'!C6</x:f>
        <x:v>20</x:v>
      </x:c>
      <x:c r="G5" s="60"/>
      <x:c r="H5" s="60" t="str">
        <x:v>Gas displacement share</x:v>
      </x:c>
      <x:c r="I5" s="63" t="n">
        <x:f>'Inputs'!C14</x:f>
        <x:v>0.5</x:v>
      </x:c>
      <x:c r="J5" s="2"/>
    </x:row>
    <x:row r="6" ht="24" customHeight="1">
      <x:c r="A6" s="2"/>
      <x:c r="B6" s="60" t="str">
        <x:v>Annual savings</x:v>
      </x:c>
      <x:c r="C6" s="61" t="n">
        <x:f>'Option 2'!C7</x:f>
        <x:v>5.018966572190644</x:v>
      </x:c>
      <x:c r="D6" s="60"/>
      <x:c r="E6" s="60" t="str">
        <x:v>Current capex</x:v>
      </x:c>
      <x:c r="F6" s="61" t="n">
        <x:f>'Option 2'!C6</x:f>
        <x:v>64.32249578078262</x:v>
      </x:c>
      <x:c r="G6" s="60"/>
      <x:c r="H6" s="60" t="str">
        <x:v>CO2 value ($/t)</x:v>
      </x:c>
      <x:c r="I6" s="61" t="n">
        <x:f>'Inputs'!C15</x:f>
        <x:v>90.51265703124996</x:v>
      </x:c>
      <x:c r="J6" s="2"/>
    </x:row>
    <x:row r="7" ht="24" customHeight="1">
      <x:c r="A7" s="2"/>
      <x:c r="B7" s="60" t="str">
        <x:v>Annual climate benefit</x:v>
      </x:c>
      <x:c r="C7" s="61" t="n">
        <x:f>'Option 2'!C12</x:f>
        <x:v>3.1264981735043107</x:v>
      </x:c>
      <x:c r="D7" s="60"/>
      <x:c r="E7" s="60" t="str">
        <x:v>Discounting</x:v>
      </x:c>
      <x:c r="F7" s="61" t="str">
        <x:f>'Inputs'!C7</x:f>
        <x:v>Green Book</x:v>
      </x:c>
      <x:c r="G7" s="60"/>
      <x:c r="H7" s="60" t="str">
        <x:v>Annual O&amp;M</x:v>
      </x:c>
      <x:c r="I7" s="64" t="n">
        <x:f>'Inputs'!C16</x:f>
        <x:v>0.01</x:v>
      </x:c>
      <x:c r="J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24" customHeight="1">
      <x:c r="A9" s="2"/>
      <x:c r="B9" s="65" t="str">
        <x:v>1. Construction cost and appraisal period</x:v>
      </x:c>
      <x:c r="C9" s="2"/>
      <x:c r="D9" s="2"/>
      <x:c r="E9" s="2"/>
      <x:c r="F9" s="2"/>
      <x:c r="G9" s="2"/>
      <x:c r="H9" s="2"/>
      <x:c r="I9" s="2"/>
      <x:c r="J9" s="2"/>
    </x:row>
    <x:row r="10" ht="24" customHeight="1">
      <x:c r="A10" s="2"/>
      <x:c r="B10" s="56" t="str">
        <x:v>Cost multiples use the reference estimate. All remaining assumptions follow Inputs.</x:v>
      </x:c>
      <x:c r="C10" s="2"/>
      <x:c r="D10" s="2"/>
      <x:c r="E10" s="2"/>
      <x:c r="F10" s="2"/>
      <x:c r="G10" s="2"/>
      <x:c r="H10" s="2"/>
      <x:c r="I10" s="2"/>
      <x:c r="J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42" customHeight="1">
      <x:c r="A12" s="2"/>
      <x:c r="B12" s="70" t="str">
        <x:v>Cost multiple</x:v>
      </x:c>
      <x:c r="C12" s="71" t="str">
        <x:v>Capex ($m)</x:v>
      </x:c>
      <x:c r="D12" s="71" t="str">
        <x:v>Years</x:v>
      </x:c>
      <x:c r="E12" s="71" t="str">
        <x:v>PV factor</x:v>
      </x:c>
      <x:c r="F12" s="71" t="str">
        <x:v>PV benefits</x:v>
      </x:c>
      <x:c r="G12" s="71" t="str">
        <x:v>PV costs</x:v>
      </x:c>
      <x:c r="H12" s="71" t="str">
        <x:v>NPV ($m)</x:v>
      </x:c>
      <x:c r="I12" s="72" t="str">
        <x:v>B/C</x:v>
      </x:c>
      <x:c r="J12" s="2"/>
    </x:row>
    <x:row r="13" ht="27" customHeight="1">
      <x:c r="A13" s="2"/>
      <x:c r="B13" s="99" t="n">
        <x:v>1</x:v>
      </x:c>
      <x:c r="C13" s="78" t="n">
        <x:f>B13*$C$5</x:f>
        <x:v>64.32249578078262</x:v>
      </x:c>
      <x:c r="D13" s="108" t="n">
        <x:v>20</x:v>
      </x:c>
      <x:c r="E13" s="111" t="n">
        <x:f>SUMIFS('Option 2'!$C$26:$C$85,'Option 2'!$B$26:$B$85,"&lt;="&amp;D13)</x:f>
        <x:v>14.2124033019523</x:v>
      </x:c>
      <x:c r="F13" s="78" t="n">
        <x:f>($C$6+$C$7)*E13</x:f>
        <x:v>115.76663004765103</x:v>
      </x:c>
      <x:c r="G13" s="78" t="n">
        <x:f>C13+(C13*$I$7+'Option 2'!$C$14)*E13</x:f>
        <x:v>73.46426829502869</x:v>
      </x:c>
      <x:c r="H13" s="83" t="n">
        <x:f>F13-G13</x:f>
        <x:v>42.302361752622346</x:v>
      </x:c>
      <x:c r="I13" s="87" t="n">
        <x:f>F13/G13</x:f>
        <x:v>1.5758222702598528</x:v>
      </x:c>
      <x:c r="J13" s="2"/>
    </x:row>
    <x:row r="14" ht="27" customHeight="1">
      <x:c r="A14" s="2"/>
      <x:c r="B14" s="100" t="n">
        <x:v>1</x:v>
      </x:c>
      <x:c r="C14" s="81" t="n">
        <x:f>B14*$C$5</x:f>
        <x:v>64.32249578078262</x:v>
      </x:c>
      <x:c r="D14" s="109" t="n">
        <x:v>30</x:v>
      </x:c>
      <x:c r="E14" s="112" t="n">
        <x:f>SUMIFS('Option 2'!$C$26:$C$85,'Option 2'!$B$26:$B$85,"&lt;="&amp;D14)</x:f>
        <x:v>18.39204541136283</x:v>
      </x:c>
      <x:c r="F14" s="81" t="n">
        <x:f>($C$6+$C$7)*E14</x:f>
        <x:v>149.81175749947658</x:v>
      </x:c>
      <x:c r="G14" s="81" t="n">
        <x:f>C14+(C14*$I$7+'Option 2'!$C$14)*E14</x:f>
        <x:v>76.1527184145061</x:v>
      </x:c>
      <x:c r="H14" s="85" t="n">
        <x:f>F14-G14</x:f>
        <x:v>73.65903908497049</x:v>
      </x:c>
      <x:c r="I14" s="88" t="n">
        <x:f>F14/G14</x:f>
        <x:v>1.9672542309525671</x:v>
      </x:c>
      <x:c r="J14" s="2"/>
    </x:row>
    <x:row r="15" ht="27" customHeight="1">
      <x:c r="A15" s="2"/>
      <x:c r="B15" s="100" t="n">
        <x:v>1</x:v>
      </x:c>
      <x:c r="C15" s="81" t="n">
        <x:f>B15*$C$5</x:f>
        <x:v>64.32249578078262</x:v>
      </x:c>
      <x:c r="D15" s="109" t="n">
        <x:v>40</x:v>
      </x:c>
      <x:c r="E15" s="112" t="n">
        <x:f>SUMIFS('Option 2'!$C$26:$C$85,'Option 2'!$B$26:$B$85,"&lt;="&amp;D15)</x:f>
        <x:v>21.43117252016458</x:v>
      </x:c>
      <x:c r="F15" s="81" t="n">
        <x:f>($C$6+$C$7)*E15</x:f>
        <x:v>174.5668602219071</x:v>
      </x:c>
      <x:c r="G15" s="81" t="n">
        <x:f>C15+(C15*$I$7+'Option 2'!$C$14)*E15</x:f>
        <x:v>78.10756082083772</x:v>
      </x:c>
      <x:c r="H15" s="85" t="n">
        <x:f>F15-G15</x:f>
        <x:v>96.45929940106937</x:v>
      </x:c>
      <x:c r="I15" s="88" t="n">
        <x:f>F15/G15</x:f>
        <x:v>2.2349547007661226</x:v>
      </x:c>
      <x:c r="J15" s="2"/>
    </x:row>
    <x:row r="16" ht="27" customHeight="1">
      <x:c r="A16" s="2"/>
      <x:c r="B16" s="99" t="n">
        <x:v>2</x:v>
      </x:c>
      <x:c r="C16" s="78" t="n">
        <x:f>B16*$C$5</x:f>
        <x:v>128.64499156156523</x:v>
      </x:c>
      <x:c r="D16" s="108" t="n">
        <x:v>20</x:v>
      </x:c>
      <x:c r="E16" s="111" t="n">
        <x:f>SUMIFS('Option 2'!$C$26:$C$85,'Option 2'!$B$26:$B$85,"&lt;="&amp;D16)</x:f>
        <x:v>14.2124033019523</x:v>
      </x:c>
      <x:c r="F16" s="78" t="n">
        <x:f>($C$6+$C$7)*E16</x:f>
        <x:v>115.76663004765103</x:v>
      </x:c>
      <x:c r="G16" s="78" t="n">
        <x:f>C16+(C16*$I$7+'Option 2'!$C$14)*E16</x:f>
        <x:v>146.92853659005738</x:v>
      </x:c>
      <x:c r="H16" s="83" t="n">
        <x:f>F16-G16</x:f>
        <x:v>-31.161906542406342</x:v>
      </x:c>
      <x:c r="I16" s="87" t="n">
        <x:f>F16/G16</x:f>
        <x:v>0.7879111351299264</x:v>
      </x:c>
      <x:c r="J16" s="2"/>
    </x:row>
    <x:row r="17" ht="27" customHeight="1">
      <x:c r="A17" s="2"/>
      <x:c r="B17" s="100" t="n">
        <x:v>2</x:v>
      </x:c>
      <x:c r="C17" s="81" t="n">
        <x:f>B17*$C$5</x:f>
        <x:v>128.64499156156523</x:v>
      </x:c>
      <x:c r="D17" s="109" t="n">
        <x:v>30</x:v>
      </x:c>
      <x:c r="E17" s="112" t="n">
        <x:f>SUMIFS('Option 2'!$C$26:$C$85,'Option 2'!$B$26:$B$85,"&lt;="&amp;D17)</x:f>
        <x:v>18.39204541136283</x:v>
      </x:c>
      <x:c r="F17" s="81" t="n">
        <x:f>($C$6+$C$7)*E17</x:f>
        <x:v>149.81175749947658</x:v>
      </x:c>
      <x:c r="G17" s="81" t="n">
        <x:f>C17+(C17*$I$7+'Option 2'!$C$14)*E17</x:f>
        <x:v>152.3054368290122</x:v>
      </x:c>
      <x:c r="H17" s="85" t="n">
        <x:f>F17-G17</x:f>
        <x:v>-2.4936793295356097</x:v>
      </x:c>
      <x:c r="I17" s="88" t="n">
        <x:f>F17/G17</x:f>
        <x:v>0.9836271154762836</x:v>
      </x:c>
      <x:c r="J17" s="2"/>
    </x:row>
    <x:row r="18" ht="27" customHeight="1">
      <x:c r="A18" s="2"/>
      <x:c r="B18" s="100" t="n">
        <x:v>2</x:v>
      </x:c>
      <x:c r="C18" s="81" t="n">
        <x:f>B18*$C$5</x:f>
        <x:v>128.64499156156523</x:v>
      </x:c>
      <x:c r="D18" s="109" t="n">
        <x:v>40</x:v>
      </x:c>
      <x:c r="E18" s="112" t="n">
        <x:f>SUMIFS('Option 2'!$C$26:$C$85,'Option 2'!$B$26:$B$85,"&lt;="&amp;D18)</x:f>
        <x:v>21.43117252016458</x:v>
      </x:c>
      <x:c r="F18" s="81" t="n">
        <x:f>($C$6+$C$7)*E18</x:f>
        <x:v>174.5668602219071</x:v>
      </x:c>
      <x:c r="G18" s="81" t="n">
        <x:f>C18+(C18*$I$7+'Option 2'!$C$14)*E18</x:f>
        <x:v>156.21512164167544</x:v>
      </x:c>
      <x:c r="H18" s="85" t="n">
        <x:f>F18-G18</x:f>
        <x:v>18.351738580231654</x:v>
      </x:c>
      <x:c r="I18" s="88" t="n">
        <x:f>F18/G18</x:f>
        <x:v>1.1174773503830613</x:v>
      </x:c>
      <x:c r="J18" s="2"/>
    </x:row>
    <x:row r="19" ht="27" customHeight="1">
      <x:c r="A19" s="2"/>
      <x:c r="B19" s="99" t="n">
        <x:v>3</x:v>
      </x:c>
      <x:c r="C19" s="78" t="n">
        <x:f>B19*$C$5</x:f>
        <x:v>192.96748734234785</x:v>
      </x:c>
      <x:c r="D19" s="108" t="n">
        <x:v>20</x:v>
      </x:c>
      <x:c r="E19" s="111" t="n">
        <x:f>SUMIFS('Option 2'!$C$26:$C$85,'Option 2'!$B$26:$B$85,"&lt;="&amp;D19)</x:f>
        <x:v>14.2124033019523</x:v>
      </x:c>
      <x:c r="F19" s="78" t="n">
        <x:f>($C$6+$C$7)*E19</x:f>
        <x:v>115.76663004765103</x:v>
      </x:c>
      <x:c r="G19" s="78" t="n">
        <x:f>C19+(C19*$I$7+'Option 2'!$C$14)*E19</x:f>
        <x:v>220.3928048850861</x:v>
      </x:c>
      <x:c r="H19" s="83" t="n">
        <x:f>F19-G19</x:f>
        <x:v>-104.62617483743506</x:v>
      </x:c>
      <x:c r="I19" s="87" t="n">
        <x:f>F19/G19</x:f>
        <x:v>0.5252740900866175</x:v>
      </x:c>
      <x:c r="J19" s="2"/>
    </x:row>
    <x:row r="20" ht="27" customHeight="1">
      <x:c r="A20" s="2"/>
      <x:c r="B20" s="100" t="n">
        <x:v>3</x:v>
      </x:c>
      <x:c r="C20" s="81" t="n">
        <x:f>B20*$C$5</x:f>
        <x:v>192.96748734234785</x:v>
      </x:c>
      <x:c r="D20" s="109" t="n">
        <x:v>30</x:v>
      </x:c>
      <x:c r="E20" s="112" t="n">
        <x:f>SUMIFS('Option 2'!$C$26:$C$85,'Option 2'!$B$26:$B$85,"&lt;="&amp;D20)</x:f>
        <x:v>18.39204541136283</x:v>
      </x:c>
      <x:c r="F20" s="81" t="n">
        <x:f>($C$6+$C$7)*E20</x:f>
        <x:v>149.81175749947658</x:v>
      </x:c>
      <x:c r="G20" s="81" t="n">
        <x:f>C20+(C20*$I$7+'Option 2'!$C$14)*E20</x:f>
        <x:v>228.4581552435183</x:v>
      </x:c>
      <x:c r="H20" s="85" t="n">
        <x:f>F20-G20</x:f>
        <x:v>-78.6463977440417</x:v>
      </x:c>
      <x:c r="I20" s="88" t="n">
        <x:f>F20/G20</x:f>
        <x:v>0.6557514103175224</x:v>
      </x:c>
      <x:c r="J20" s="2"/>
    </x:row>
    <x:row r="21" ht="27" customHeight="1">
      <x:c r="A21" s="2"/>
      <x:c r="B21" s="100" t="n">
        <x:v>3</x:v>
      </x:c>
      <x:c r="C21" s="81" t="n">
        <x:f>B21*$C$5</x:f>
        <x:v>192.96748734234785</x:v>
      </x:c>
      <x:c r="D21" s="109" t="n">
        <x:v>40</x:v>
      </x:c>
      <x:c r="E21" s="112" t="n">
        <x:f>SUMIFS('Option 2'!$C$26:$C$85,'Option 2'!$B$26:$B$85,"&lt;="&amp;D21)</x:f>
        <x:v>21.43117252016458</x:v>
      </x:c>
      <x:c r="F21" s="81" t="n">
        <x:f>($C$6+$C$7)*E21</x:f>
        <x:v>174.5668602219071</x:v>
      </x:c>
      <x:c r="G21" s="81" t="n">
        <x:f>C21+(C21*$I$7+'Option 2'!$C$14)*E21</x:f>
        <x:v>234.32268246251317</x:v>
      </x:c>
      <x:c r="H21" s="85" t="n">
        <x:f>F21-G21</x:f>
        <x:v>-59.75582224060608</x:v>
      </x:c>
      <x:c r="I21" s="88" t="n">
        <x:f>F21/G21</x:f>
        <x:v>0.7449849002553742</x:v>
      </x:c>
      <x:c r="J21" s="2"/>
    </x:row>
    <x:row r="22" ht="27" customHeight="1">
      <x:c r="A22" s="2"/>
      <x:c r="B22" s="99" t="n">
        <x:v>4</x:v>
      </x:c>
      <x:c r="C22" s="78" t="n">
        <x:f>B22*$C$5</x:f>
        <x:v>257.28998312313047</x:v>
      </x:c>
      <x:c r="D22" s="108" t="n">
        <x:v>20</x:v>
      </x:c>
      <x:c r="E22" s="111" t="n">
        <x:f>SUMIFS('Option 2'!$C$26:$C$85,'Option 2'!$B$26:$B$85,"&lt;="&amp;D22)</x:f>
        <x:v>14.2124033019523</x:v>
      </x:c>
      <x:c r="F22" s="78" t="n">
        <x:f>($C$6+$C$7)*E22</x:f>
        <x:v>115.76663004765103</x:v>
      </x:c>
      <x:c r="G22" s="78" t="n">
        <x:f>C22+(C22*$I$7+'Option 2'!$C$14)*E22</x:f>
        <x:v>293.85707318011475</x:v>
      </x:c>
      <x:c r="H22" s="83" t="n">
        <x:f>F22-G22</x:f>
        <x:v>-178.09044313246372</x:v>
      </x:c>
      <x:c r="I22" s="87" t="n">
        <x:f>F22/G22</x:f>
        <x:v>0.3939555675649632</x:v>
      </x:c>
      <x:c r="J22" s="2"/>
    </x:row>
    <x:row r="23" ht="27" customHeight="1">
      <x:c r="A23" s="2"/>
      <x:c r="B23" s="100" t="n">
        <x:v>4</x:v>
      </x:c>
      <x:c r="C23" s="81" t="n">
        <x:f>B23*$C$5</x:f>
        <x:v>257.28998312313047</x:v>
      </x:c>
      <x:c r="D23" s="109" t="n">
        <x:v>30</x:v>
      </x:c>
      <x:c r="E23" s="112" t="n">
        <x:f>SUMIFS('Option 2'!$C$26:$C$85,'Option 2'!$B$26:$B$85,"&lt;="&amp;D23)</x:f>
        <x:v>18.39204541136283</x:v>
      </x:c>
      <x:c r="F23" s="81" t="n">
        <x:f>($C$6+$C$7)*E23</x:f>
        <x:v>149.81175749947658</x:v>
      </x:c>
      <x:c r="G23" s="81" t="n">
        <x:f>C23+(C23*$I$7+'Option 2'!$C$14)*E23</x:f>
        <x:v>304.6108736580244</x:v>
      </x:c>
      <x:c r="H23" s="85" t="n">
        <x:f>F23-G23</x:f>
        <x:v>-154.7991161585478</x:v>
      </x:c>
      <x:c r="I23" s="88" t="n">
        <x:f>F23/G23</x:f>
        <x:v>0.4918135577381418</x:v>
      </x:c>
      <x:c r="J23" s="2"/>
    </x:row>
    <x:row r="24" ht="27" customHeight="1">
      <x:c r="A24" s="2"/>
      <x:c r="B24" s="101" t="n">
        <x:v>4</x:v>
      </x:c>
      <x:c r="C24" s="90" t="n">
        <x:f>B24*$C$5</x:f>
        <x:v>257.28998312313047</x:v>
      </x:c>
      <x:c r="D24" s="110" t="n">
        <x:v>40</x:v>
      </x:c>
      <x:c r="E24" s="113" t="n">
        <x:f>SUMIFS('Option 2'!$C$26:$C$85,'Option 2'!$B$26:$B$85,"&lt;="&amp;D24)</x:f>
        <x:v>21.43117252016458</x:v>
      </x:c>
      <x:c r="F24" s="90" t="n">
        <x:f>($C$6+$C$7)*E24</x:f>
        <x:v>174.5668602219071</x:v>
      </x:c>
      <x:c r="G24" s="90" t="n">
        <x:f>C24+(C24*$I$7+'Option 2'!$C$14)*E24</x:f>
        <x:v>312.4302432833509</x:v>
      </x:c>
      <x:c r="H24" s="91" t="n">
        <x:f>F24-G24</x:f>
        <x:v>-137.86338306144378</x:v>
      </x:c>
      <x:c r="I24" s="92" t="n">
        <x:f>F24/G24</x:f>
        <x:v>0.5587386751915306</x:v>
      </x:c>
      <x:c r="J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4" customHeight="1">
      <x:c r="A27" s="2"/>
      <x:c r="B27" s="65" t="str">
        <x:v>2. Carbon value</x:v>
      </x:c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2"/>
      <x:c r="B28" s="56" t="str">
        <x:v>Current capex and horizon from Inputs; gas displacement share held at its current value.</x:v>
      </x:c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42" customHeight="1">
      <x:c r="A30" s="2"/>
      <x:c r="B30" s="70" t="str">
        <x:v>CO2 value ($/t)</x:v>
      </x:c>
      <x:c r="C30" s="71" t="str">
        <x:v>CO2 (kt/year)</x:v>
      </x:c>
      <x:c r="D30" s="71" t="str">
        <x:v>Climate ($m/yr)</x:v>
      </x:c>
      <x:c r="E30" s="71" t="str">
        <x:v>PV factor</x:v>
      </x:c>
      <x:c r="F30" s="71" t="str">
        <x:v>PV benefits</x:v>
      </x:c>
      <x:c r="G30" s="71" t="str">
        <x:v>PV costs</x:v>
      </x:c>
      <x:c r="H30" s="71" t="str">
        <x:v>NPV ($m)</x:v>
      </x:c>
      <x:c r="I30" s="72" t="str">
        <x:v>B/C</x:v>
      </x:c>
      <x:c r="J30" s="2"/>
    </x:row>
    <x:row r="31" ht="27" customHeight="1">
      <x:c r="A31" s="2"/>
      <x:c r="B31" s="106" t="n">
        <x:v>0</x:v>
      </x:c>
      <x:c r="C31" s="81" t="n">
        <x:f>'Option 2'!$C$11/1000</x:f>
        <x:v>34.54211019818887</x:v>
      </x:c>
      <x:c r="D31" s="81" t="n">
        <x:f>B31*C31/1000</x:f>
        <x:v>0</x:v>
      </x:c>
      <x:c r="E31" s="112" t="n">
        <x:f>SUMIFS('Option 2'!$C$26:$C$85,'Option 2'!$B$26:$B$85,"&lt;="&amp;$F$5)</x:f>
        <x:v>14.2124033019523</x:v>
      </x:c>
      <x:c r="F31" s="81" t="n">
        <x:f>($C$6+D31)*E31</x:f>
        <x:v>71.33157708299052</x:v>
      </x:c>
      <x:c r="G31" s="81" t="n">
        <x:f>'Option 2'!$C$18</x:f>
        <x:v>73.4642682950287</x:v>
      </x:c>
      <x:c r="H31" s="85" t="n">
        <x:f>F31-G31</x:f>
        <x:v>-2.132691212038182</x:v>
      </x:c>
      <x:c r="I31" s="88" t="n">
        <x:f>F31/G31</x:f>
        <x:v>0.970969680069862</x:v>
      </x:c>
      <x:c r="J31" s="2"/>
    </x:row>
    <x:row r="32" ht="27" customHeight="1">
      <x:c r="A32" s="2"/>
      <x:c r="B32" s="106" t="n">
        <x:v>28.28520532226561</x:v>
      </x:c>
      <x:c r="C32" s="81" t="n">
        <x:f>'Option 2'!$C$11/1000</x:f>
        <x:v>34.54211019818887</x:v>
      </x:c>
      <x:c r="D32" s="81" t="n">
        <x:f>B32*C32/1000</x:f>
        <x:v>0.9770306792200971</x:v>
      </x:c>
      <x:c r="E32" s="112" t="n">
        <x:f>SUMIFS('Option 2'!$C$26:$C$85,'Option 2'!$B$26:$B$85,"&lt;="&amp;$F$5)</x:f>
        <x:v>14.2124033019523</x:v>
      </x:c>
      <x:c r="F32" s="81" t="n">
        <x:f>($C$6+D32)*E32</x:f>
        <x:v>85.21753113444693</x:v>
      </x:c>
      <x:c r="G32" s="81" t="n">
        <x:f>'Option 2'!$C$18</x:f>
        <x:v>73.4642682950287</x:v>
      </x:c>
      <x:c r="H32" s="85" t="n">
        <x:f>F32-G32</x:f>
        <x:v>11.753262839418227</x:v>
      </x:c>
      <x:c r="I32" s="88" t="n">
        <x:f>F32/G32</x:f>
        <x:v>1.159986114504234</x:v>
      </x:c>
      <x:c r="J32" s="2"/>
    </x:row>
    <x:row r="33" ht="27" customHeight="1">
      <x:c r="A33" s="2"/>
      <x:c r="B33" s="106" t="n">
        <x:v>56.57041064453122</x:v>
      </x:c>
      <x:c r="C33" s="81" t="n">
        <x:f>'Option 2'!$C$11/1000</x:f>
        <x:v>34.54211019818887</x:v>
      </x:c>
      <x:c r="D33" s="81" t="n">
        <x:f>B33*C33/1000</x:f>
        <x:v>1.9540613584401942</x:v>
      </x:c>
      <x:c r="E33" s="112" t="n">
        <x:f>SUMIFS('Option 2'!$C$26:$C$85,'Option 2'!$B$26:$B$85,"&lt;="&amp;$F$5)</x:f>
        <x:v>14.2124033019523</x:v>
      </x:c>
      <x:c r="F33" s="81" t="n">
        <x:f>($C$6+D33)*E33</x:f>
        <x:v>99.10348518590334</x:v>
      </x:c>
      <x:c r="G33" s="81" t="n">
        <x:f>'Option 2'!$C$18</x:f>
        <x:v>73.4642682950287</x:v>
      </x:c>
      <x:c r="H33" s="85" t="n">
        <x:f>F33-G33</x:f>
        <x:v>25.639216890874636</x:v>
      </x:c>
      <x:c r="I33" s="88" t="n">
        <x:f>F33/G33</x:f>
        <x:v>1.349002548938606</x:v>
      </x:c>
      <x:c r="J33" s="2"/>
    </x:row>
    <x:row r="34" ht="27" customHeight="1">
      <x:c r="A34" s="2"/>
      <x:c r="B34" s="107" t="n">
        <x:v>90.51265703124996</x:v>
      </x:c>
      <x:c r="C34" s="90" t="n">
        <x:f>'Option 2'!$C$11/1000</x:f>
        <x:v>34.54211019818887</x:v>
      </x:c>
      <x:c r="D34" s="90" t="n">
        <x:f>B34*C34/1000</x:f>
        <x:v>3.126498173504311</x:v>
      </x:c>
      <x:c r="E34" s="113" t="n">
        <x:f>SUMIFS('Option 2'!$C$26:$C$85,'Option 2'!$B$26:$B$85,"&lt;="&amp;$F$5)</x:f>
        <x:v>14.2124033019523</x:v>
      </x:c>
      <x:c r="F34" s="90" t="n">
        <x:f>($C$6+D34)*E34</x:f>
        <x:v>115.76663004765103</x:v>
      </x:c>
      <x:c r="G34" s="90" t="n">
        <x:f>'Option 2'!$C$18</x:f>
        <x:v>73.4642682950287</x:v>
      </x:c>
      <x:c r="H34" s="91" t="n">
        <x:f>F34-G34</x:f>
        <x:v>42.30236175262233</x:v>
      </x:c>
      <x:c r="I34" s="92" t="n">
        <x:f>F34/G34</x:f>
        <x:v>1.5758222702598526</x:v>
      </x:c>
      <x:c r="J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4" customHeight="1">
      <x:c r="A37" s="2"/>
      <x:c r="B37" s="65" t="str">
        <x:v>3. Savings attributed to gas displacement</x:v>
      </x:c>
      <x:c r="C37" s="2"/>
      <x:c r="D37" s="2"/>
      <x:c r="E37" s="2"/>
      <x:c r="F37" s="2"/>
      <x:c r="G37" s="2"/>
      <x:c r="H37" s="2"/>
      <x:c r="I37" s="2"/>
      <x:c r="J37" s="2"/>
    </x:row>
    <x:row r="38" ht="24" customHeight="1">
      <x:c r="A38" s="2"/>
      <x:c r="B38" s="56" t="str">
        <x:v>A share of production savings, not a curtailment recovery rate. Other settings follow Inputs.</x:v>
      </x:c>
      <x:c r="C38" s="2"/>
      <x:c r="D38" s="2"/>
      <x:c r="E38" s="2"/>
      <x:c r="F38" s="2"/>
      <x:c r="G38" s="2"/>
      <x:c r="H38" s="2"/>
      <x:c r="I38" s="2"/>
      <x:c r="J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42" customHeight="1">
      <x:c r="A40" s="2"/>
      <x:c r="B40" s="70" t="str">
        <x:v>Gas share</x:v>
      </x:c>
      <x:c r="C40" s="71" t="str">
        <x:v>CO2 (kt/year)</x:v>
      </x:c>
      <x:c r="D40" s="71" t="str">
        <x:v>Climate ($m/yr)</x:v>
      </x:c>
      <x:c r="E40" s="71" t="str">
        <x:v>PV factor</x:v>
      </x:c>
      <x:c r="F40" s="71" t="str">
        <x:v>PV benefits</x:v>
      </x:c>
      <x:c r="G40" s="71" t="str">
        <x:v>PV costs</x:v>
      </x:c>
      <x:c r="H40" s="71" t="str">
        <x:v>NPV ($m)</x:v>
      </x:c>
      <x:c r="I40" s="72" t="str">
        <x:v>B/C</x:v>
      </x:c>
      <x:c r="J40" s="2"/>
    </x:row>
    <x:row r="41" ht="27" customHeight="1">
      <x:c r="A41" s="2"/>
      <x:c r="B41" s="114" t="n">
        <x:v>0</x:v>
      </x:c>
      <x:c r="C41" s="81" t="n">
        <x:f>$C$6*1000000*B41/'Option 2'!$C$8*'Inputs'!$C$18*'Inputs'!$C$20/1000000</x:f>
        <x:v>0</x:v>
      </x:c>
      <x:c r="D41" s="81" t="n">
        <x:f>C41*$I$6/1000</x:f>
        <x:v>0</x:v>
      </x:c>
      <x:c r="E41" s="112" t="n">
        <x:f>SUMIFS('Option 2'!$C$26:$C$85,'Option 2'!$B$26:$B$85,"&lt;="&amp;$F$5)</x:f>
        <x:v>14.2124033019523</x:v>
      </x:c>
      <x:c r="F41" s="81" t="n">
        <x:f>($C$6+D41)*E41</x:f>
        <x:v>71.33157708299052</x:v>
      </x:c>
      <x:c r="G41" s="81" t="n">
        <x:f>'Option 2'!$C$18</x:f>
        <x:v>73.4642682950287</x:v>
      </x:c>
      <x:c r="H41" s="85" t="n">
        <x:f>F41-G41</x:f>
        <x:v>-2.132691212038182</x:v>
      </x:c>
      <x:c r="I41" s="88" t="n">
        <x:f>F41/G41</x:f>
        <x:v>0.970969680069862</x:v>
      </x:c>
      <x:c r="J41" s="2"/>
    </x:row>
    <x:row r="42" ht="27" customHeight="1">
      <x:c r="A42" s="2"/>
      <x:c r="B42" s="114" t="n">
        <x:v>0.25</x:v>
      </x:c>
      <x:c r="C42" s="81" t="n">
        <x:f>$C$6*1000000*B42/'Option 2'!$C$8*'Inputs'!$C$18*'Inputs'!$C$20/1000000</x:f>
        <x:v>17.271055099094436</x:v>
      </x:c>
      <x:c r="D42" s="81" t="n">
        <x:f>C42*$I$6/1000</x:f>
        <x:v>1.5632490867521556</x:v>
      </x:c>
      <x:c r="E42" s="112" t="n">
        <x:f>SUMIFS('Option 2'!$C$26:$C$85,'Option 2'!$B$26:$B$85,"&lt;="&amp;$F$5)</x:f>
        <x:v>14.2124033019523</x:v>
      </x:c>
      <x:c r="F42" s="81" t="n">
        <x:f>($C$6+D42)*E42</x:f>
        <x:v>93.54910356532078</x:v>
      </x:c>
      <x:c r="G42" s="81" t="n">
        <x:f>'Option 2'!$C$18</x:f>
        <x:v>73.4642682950287</x:v>
      </x:c>
      <x:c r="H42" s="85" t="n">
        <x:f>F42-G42</x:f>
        <x:v>20.084835270292075</x:v>
      </x:c>
      <x:c r="I42" s="88" t="n">
        <x:f>F42/G42</x:f>
        <x:v>1.2733959751648571</x:v>
      </x:c>
      <x:c r="J42" s="2"/>
    </x:row>
    <x:row r="43" ht="27" customHeight="1">
      <x:c r="A43" s="2"/>
      <x:c r="B43" s="114" t="n">
        <x:v>0.5</x:v>
      </x:c>
      <x:c r="C43" s="81" t="n">
        <x:f>$C$6*1000000*B43/'Option 2'!$C$8*'Inputs'!$C$18*'Inputs'!$C$20/1000000</x:f>
        <x:v>34.54211019818887</x:v>
      </x:c>
      <x:c r="D43" s="81" t="n">
        <x:f>C43*$I$6/1000</x:f>
        <x:v>3.126498173504311</x:v>
      </x:c>
      <x:c r="E43" s="112" t="n">
        <x:f>SUMIFS('Option 2'!$C$26:$C$85,'Option 2'!$B$26:$B$85,"&lt;="&amp;$F$5)</x:f>
        <x:v>14.2124033019523</x:v>
      </x:c>
      <x:c r="F43" s="81" t="n">
        <x:f>($C$6+D43)*E43</x:f>
        <x:v>115.76663004765103</x:v>
      </x:c>
      <x:c r="G43" s="81" t="n">
        <x:f>'Option 2'!$C$18</x:f>
        <x:v>73.4642682950287</x:v>
      </x:c>
      <x:c r="H43" s="85" t="n">
        <x:f>F43-G43</x:f>
        <x:v>42.30236175262233</x:v>
      </x:c>
      <x:c r="I43" s="88" t="n">
        <x:f>F43/G43</x:f>
        <x:v>1.5758222702598526</x:v>
      </x:c>
      <x:c r="J43" s="2"/>
    </x:row>
    <x:row r="44" ht="27" customHeight="1">
      <x:c r="A44" s="2"/>
      <x:c r="B44" s="115" t="n">
        <x:v>1</x:v>
      </x:c>
      <x:c r="C44" s="90" t="n">
        <x:f>$C$6*1000000*B44/'Option 2'!$C$8*'Inputs'!$C$18*'Inputs'!$C$20/1000000</x:f>
        <x:v>69.08422039637775</x:v>
      </x:c>
      <x:c r="D44" s="90" t="n">
        <x:f>C44*$I$6/1000</x:f>
        <x:v>6.252996347008622</x:v>
      </x:c>
      <x:c r="E44" s="113" t="n">
        <x:f>SUMIFS('Option 2'!$C$26:$C$85,'Option 2'!$B$26:$B$85,"&lt;="&amp;$F$5)</x:f>
        <x:v>14.2124033019523</x:v>
      </x:c>
      <x:c r="F44" s="90" t="n">
        <x:f>($C$6+D44)*E44</x:f>
        <x:v>160.20168301231155</x:v>
      </x:c>
      <x:c r="G44" s="90" t="n">
        <x:f>'Option 2'!$C$18</x:f>
        <x:v>73.4642682950287</x:v>
      </x:c>
      <x:c r="H44" s="91" t="n">
        <x:f>F44-G44</x:f>
        <x:v>86.73741471728285</x:v>
      </x:c>
      <x:c r="I44" s="92" t="n">
        <x:f>F44/G44</x:f>
        <x:v>2.180674860449843</x:v>
      </x:c>
      <x:c r="J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</x:sheetData>
  <x:conditionalFormatting sqref="H13:H24">
    <x:cfRule type="cellIs" dxfId="3" priority="1" operator="lessThan">
      <x:formula>0</x:formula>
    </x:cfRule>
  </x:conditionalFormatting>
  <x:conditionalFormatting sqref="I13:I24">
    <x:cfRule type="cellIs" dxfId="4" priority="2" operator="lessThan">
      <x:formula>1</x:formula>
    </x:cfRule>
  </x:conditionalFormatting>
  <x:conditionalFormatting sqref="H31:H34">
    <x:cfRule type="cellIs" dxfId="5" priority="3" operator="lessThan">
      <x:formula>0</x:formula>
    </x:cfRule>
  </x:conditionalFormatting>
  <x:conditionalFormatting sqref="I31:I34">
    <x:cfRule type="cellIs" dxfId="6" priority="4" operator="lessThan">
      <x:formula>1</x:formula>
    </x:cfRule>
  </x:conditionalFormatting>
  <x:conditionalFormatting sqref="H41:H44">
    <x:cfRule type="cellIs" dxfId="7" priority="5" operator="lessThan">
      <x:formula>0</x:formula>
    </x:cfRule>
  </x:conditionalFormatting>
  <x:conditionalFormatting sqref="I41:I44">
    <x:cfRule type="cellIs" dxfId="8" priority="6" operator="lessThan">
      <x:formula>1</x:formula>
    </x:cfRule>
  </x:conditionalFormatting>
  <x:dataValidations count="4">
    <x:dataValidation type="decimal" operator="greaterThan" sqref="B13:B24">
      <x:formula1>0</x:formula1>
    </x:dataValidation>
    <x:dataValidation type="whole" operator="between" sqref="D13:D24">
      <x:formula1>1</x:formula1>
      <x:formula2>60</x:formula2>
    </x:dataValidation>
    <x:dataValidation type="decimal" operator="greaterThanOrEqual" sqref="B31:B34">
      <x:formula1>0</x:formula1>
    </x:dataValidation>
    <x:dataValidation type="decimal" operator="between" sqref="B41:B44">
      <x:formula1>0</x:formula1>
      <x:formula2>1</x:formula2>
    </x:dataValidation>
  </x:dataValidations>
  <x:pageMargins left="0.7" right="0.7" top="0.75" bottom="0.75" header="0.3" footer="0.3"/>
</x:worksheet>
</file>